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wnloads\week 22\"/>
    </mc:Choice>
  </mc:AlternateContent>
  <xr:revisionPtr revIDLastSave="0" documentId="8_{1899ADFA-04C2-4939-B41F-9A24DADFF3CC}" xr6:coauthVersionLast="47" xr6:coauthVersionMax="47" xr10:uidLastSave="{00000000-0000-0000-0000-000000000000}"/>
  <bookViews>
    <workbookView xWindow="-110" yWindow="-110" windowWidth="19420" windowHeight="10300" activeTab="1" xr2:uid="{00000000-000D-0000-FFFF-FFFF00000000}"/>
  </bookViews>
  <sheets>
    <sheet name="Pivot Tables from Structured Da" sheetId="4" r:id="rId1"/>
    <sheet name="Dashbaord" sheetId="22" r:id="rId2"/>
    <sheet name="XLOOKUP for Dynamic Cross-Sheet" sheetId="9" r:id="rId3"/>
    <sheet name="EmployeeMaster" sheetId="1" r:id="rId4"/>
    <sheet name="Advanced Reporting  Calculated " sheetId="16" r:id="rId5"/>
    <sheet name="Quarter unit sold" sheetId="20" r:id="rId6"/>
    <sheet name="Brainstorming Reflection" sheetId="21" r:id="rId7"/>
    <sheet name="MonthlySalesData" sheetId="2" r:id="rId8"/>
    <sheet name="RegionBenchmarks" sheetId="3" r:id="rId9"/>
    <sheet name="Grouping" sheetId="6" r:id="rId10"/>
  </sheets>
  <definedNames>
    <definedName name="Slicer_Employee_Name">#N/A</definedName>
    <definedName name="Slicer_Month">#N/A</definedName>
  </definedNames>
  <calcPr calcId="191029"/>
  <pivotCaches>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MQG2pwHORhAZS/L5gdgjl/ipX/QQzGZ5OSrOXSM9+0k="/>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2" i="2"/>
  <c r="F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2" i="2"/>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2" i="9"/>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2" i="2"/>
  <c r="E12" i="4"/>
  <c r="Q14" i="4"/>
  <c r="K14" i="4"/>
</calcChain>
</file>

<file path=xl/sharedStrings.xml><?xml version="1.0" encoding="utf-8"?>
<sst xmlns="http://schemas.openxmlformats.org/spreadsheetml/2006/main" count="703" uniqueCount="121">
  <si>
    <t>Employee ID</t>
  </si>
  <si>
    <t>Department</t>
  </si>
  <si>
    <t>Designation</t>
  </si>
  <si>
    <t>Region</t>
  </si>
  <si>
    <t>Date of Joining</t>
  </si>
  <si>
    <t>Status</t>
  </si>
  <si>
    <t>EMP001</t>
  </si>
  <si>
    <t>Lynda Smith</t>
  </si>
  <si>
    <t>Sales</t>
  </si>
  <si>
    <t>Sales Executive</t>
  </si>
  <si>
    <t>North</t>
  </si>
  <si>
    <t>03/01/2019</t>
  </si>
  <si>
    <t>Active</t>
  </si>
  <si>
    <t>EMP002</t>
  </si>
  <si>
    <t>Raj Mehta</t>
  </si>
  <si>
    <t>Marketing</t>
  </si>
  <si>
    <t>Marketing Lead</t>
  </si>
  <si>
    <t>South</t>
  </si>
  <si>
    <t>07/15/2020</t>
  </si>
  <si>
    <t>EMP003</t>
  </si>
  <si>
    <t>Ronn Robinson</t>
  </si>
  <si>
    <t>Sr. Sales Exec.</t>
  </si>
  <si>
    <t>East</t>
  </si>
  <si>
    <t>11/20/2018</t>
  </si>
  <si>
    <t>Inactive</t>
  </si>
  <si>
    <t>EMP004</t>
  </si>
  <si>
    <t>Christi Davis</t>
  </si>
  <si>
    <t>Operations</t>
  </si>
  <si>
    <t>Ops Manager</t>
  </si>
  <si>
    <t>West</t>
  </si>
  <si>
    <t>01/10/2021</t>
  </si>
  <si>
    <t>EMP005</t>
  </si>
  <si>
    <t>Joe Lyn</t>
  </si>
  <si>
    <t>Sales Associate</t>
  </si>
  <si>
    <t>Central</t>
  </si>
  <si>
    <t>05/05/2020</t>
  </si>
  <si>
    <t>EMP006</t>
  </si>
  <si>
    <t>Fatima Zhang</t>
  </si>
  <si>
    <t>08/30/2019</t>
  </si>
  <si>
    <t>EMP007</t>
  </si>
  <si>
    <t>Martina Brands</t>
  </si>
  <si>
    <t>Brand Manager</t>
  </si>
  <si>
    <t>02/17/2021</t>
  </si>
  <si>
    <t>EMP008</t>
  </si>
  <si>
    <t>John Taylor</t>
  </si>
  <si>
    <t>Sales Manager</t>
  </si>
  <si>
    <t>06/23/2017</t>
  </si>
  <si>
    <t>Transaction ID</t>
  </si>
  <si>
    <t>Sale Date</t>
  </si>
  <si>
    <t>Month</t>
  </si>
  <si>
    <t>Product Category</t>
  </si>
  <si>
    <t>Units Sold</t>
  </si>
  <si>
    <t>Revenue</t>
  </si>
  <si>
    <t>Target</t>
  </si>
  <si>
    <t>JAN</t>
  </si>
  <si>
    <t>Electronics</t>
  </si>
  <si>
    <t>Stationery</t>
  </si>
  <si>
    <t>Furniture</t>
  </si>
  <si>
    <t>FEB</t>
  </si>
  <si>
    <t>MAR</t>
  </si>
  <si>
    <t>APR</t>
  </si>
  <si>
    <t>MAY</t>
  </si>
  <si>
    <t>JUN</t>
  </si>
  <si>
    <t>JUL</t>
  </si>
  <si>
    <t>AUG</t>
  </si>
  <si>
    <t>SEP</t>
  </si>
  <si>
    <t>OCT</t>
  </si>
  <si>
    <t>NOV</t>
  </si>
  <si>
    <t>DEC</t>
  </si>
  <si>
    <t>Benchmark Target</t>
  </si>
  <si>
    <t>Row Labels</t>
  </si>
  <si>
    <t>Grand Total</t>
  </si>
  <si>
    <t>Sum of Revenue</t>
  </si>
  <si>
    <t>Employee</t>
  </si>
  <si>
    <t>Sum of Units Sold</t>
  </si>
  <si>
    <t>Average of Units Sold</t>
  </si>
  <si>
    <t>Total  Revenue</t>
  </si>
  <si>
    <t>Product</t>
  </si>
  <si>
    <t>(All)</t>
  </si>
  <si>
    <t>Qtr1</t>
  </si>
  <si>
    <t>Qtr2</t>
  </si>
  <si>
    <t>Qtr3</t>
  </si>
  <si>
    <t>Qtr4</t>
  </si>
  <si>
    <t>20000-39999</t>
  </si>
  <si>
    <t>40000-59999</t>
  </si>
  <si>
    <t>60000-79999</t>
  </si>
  <si>
    <t>80000-99999</t>
  </si>
  <si>
    <t>100000-119999</t>
  </si>
  <si>
    <t>Employee Name</t>
  </si>
  <si>
    <t>Sales Target Achievement %</t>
  </si>
  <si>
    <t>Bench Marks</t>
  </si>
  <si>
    <t>Bonus</t>
  </si>
  <si>
    <t>Sum of Bonus</t>
  </si>
  <si>
    <t>Count of Transaction ID</t>
  </si>
  <si>
    <t>Column Labels</t>
  </si>
  <si>
    <t>Quarter 1</t>
  </si>
  <si>
    <t>Quarter 2</t>
  </si>
  <si>
    <t>Quarter 3</t>
  </si>
  <si>
    <t>Quarter 4</t>
  </si>
  <si>
    <t>Target achieved</t>
  </si>
  <si>
    <t>Ture</t>
  </si>
  <si>
    <t>No</t>
  </si>
  <si>
    <t>Count of Quarters (Sale Date)</t>
  </si>
  <si>
    <t>No employees who met their targets across all months..</t>
  </si>
  <si>
    <t>Month 2</t>
  </si>
  <si>
    <t>May</t>
  </si>
  <si>
    <t>June</t>
  </si>
  <si>
    <t>July</t>
  </si>
  <si>
    <t>September</t>
  </si>
  <si>
    <t>October</t>
  </si>
  <si>
    <t>November</t>
  </si>
  <si>
    <t>December</t>
  </si>
  <si>
    <t>January</t>
  </si>
  <si>
    <t>February</t>
  </si>
  <si>
    <t>March</t>
  </si>
  <si>
    <t>April</t>
  </si>
  <si>
    <t>August</t>
  </si>
  <si>
    <t>Count of Region2</t>
  </si>
  <si>
    <t>3. West region showed declining performance after grouping by month</t>
  </si>
  <si>
    <t>highest total revenue in quarter</t>
  </si>
  <si>
    <t>Count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</si>
</sst>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quot;₹&quot;\ #,##0"/>
  </numFmts>
  <fonts count="10"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rgb="FF000000"/>
      <name val="Calibri"/>
    </font>
    <font>
      <sz val="11"/>
      <color theme="1"/>
      <name val="Calibri"/>
      <scheme val="minor"/>
    </font>
    <font>
      <b/>
      <sz val="11"/>
      <color theme="1"/>
      <name val="Calibri"/>
      <family val="2"/>
      <scheme val="minor"/>
    </font>
    <font>
      <sz val="8"/>
      <name val="Calibri"/>
      <scheme val="minor"/>
    </font>
    <font>
      <b/>
      <sz val="11"/>
      <color theme="1"/>
      <name val="Calibri"/>
      <family val="2"/>
    </font>
  </fonts>
  <fills count="10">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2" tint="-4.9989318521683403E-2"/>
        <bgColor indexed="64"/>
      </patternFill>
    </fill>
    <fill>
      <patternFill patternType="solid">
        <fgColor theme="7" tint="0.59999389629810485"/>
        <bgColor indexed="64"/>
      </patternFill>
    </fill>
    <fill>
      <patternFill patternType="solid">
        <fgColor theme="8"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applyFont="1" applyAlignment="1"/>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center"/>
    </xf>
    <xf numFmtId="164" fontId="3" fillId="0" borderId="0" xfId="0" applyNumberFormat="1" applyFont="1" applyAlignment="1">
      <alignment horizontal="center"/>
    </xf>
    <xf numFmtId="3" fontId="6" fillId="0" borderId="1" xfId="0" applyNumberFormat="1" applyFont="1" applyBorder="1" applyAlignment="1"/>
    <xf numFmtId="3" fontId="6" fillId="0" borderId="0" xfId="0" applyNumberFormat="1" applyFont="1" applyAlignment="1"/>
    <xf numFmtId="0" fontId="2" fillId="0" borderId="2" xfId="0" applyFont="1" applyBorder="1" applyAlignment="1">
      <alignment horizontal="center" vertical="center"/>
    </xf>
    <xf numFmtId="0" fontId="2" fillId="0" borderId="2" xfId="0" applyFont="1" applyBorder="1" applyAlignment="1">
      <alignment horizontal="left" vertical="center"/>
    </xf>
    <xf numFmtId="164"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164" fontId="3" fillId="0" borderId="2" xfId="0" applyNumberFormat="1" applyFont="1" applyBorder="1" applyAlignment="1">
      <alignment horizontal="center" vertical="center"/>
    </xf>
    <xf numFmtId="14" fontId="4" fillId="0" borderId="2" xfId="0" applyNumberFormat="1" applyFont="1" applyBorder="1" applyAlignment="1">
      <alignment vertical="center"/>
    </xf>
    <xf numFmtId="14" fontId="5" fillId="0" borderId="2" xfId="0" applyNumberFormat="1" applyFont="1" applyBorder="1" applyAlignment="1">
      <alignment vertical="center"/>
    </xf>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NumberFormat="1" applyFont="1" applyAlignment="1"/>
    <xf numFmtId="0" fontId="7" fillId="0" borderId="0" xfId="0" applyFont="1" applyAlignment="1"/>
    <xf numFmtId="0" fontId="7" fillId="0" borderId="0" xfId="0" applyFont="1" applyAlignment="1">
      <alignment horizontal="center"/>
    </xf>
    <xf numFmtId="10" fontId="0" fillId="0" borderId="0" xfId="0" applyNumberFormat="1" applyFont="1" applyAlignment="1"/>
    <xf numFmtId="10" fontId="7" fillId="0" borderId="0" xfId="0" applyNumberFormat="1" applyFont="1" applyAlignment="1"/>
    <xf numFmtId="0" fontId="0" fillId="0" borderId="0" xfId="0" applyNumberFormat="1" applyFont="1" applyAlignment="1">
      <alignment horizontal="right"/>
    </xf>
    <xf numFmtId="0" fontId="1" fillId="0" borderId="0" xfId="0" applyFont="1" applyAlignment="1"/>
    <xf numFmtId="14" fontId="0" fillId="0" borderId="0" xfId="0" applyNumberFormat="1" applyFont="1" applyAlignment="1">
      <alignment horizontal="left" indent="2"/>
    </xf>
    <xf numFmtId="0" fontId="0" fillId="0" borderId="0" xfId="0" applyNumberFormat="1" applyFont="1" applyAlignment="1">
      <alignment horizontal="center"/>
    </xf>
    <xf numFmtId="0" fontId="4" fillId="2" borderId="2" xfId="0" applyNumberFormat="1" applyFont="1" applyFill="1" applyBorder="1" applyAlignment="1">
      <alignment vertical="center"/>
    </xf>
    <xf numFmtId="0" fontId="5" fillId="2" borderId="2" xfId="0" applyNumberFormat="1" applyFont="1" applyFill="1" applyBorder="1" applyAlignment="1">
      <alignment vertical="center"/>
    </xf>
    <xf numFmtId="164" fontId="3" fillId="3" borderId="2" xfId="0" applyNumberFormat="1" applyFont="1" applyFill="1" applyBorder="1" applyAlignment="1">
      <alignment horizontal="center"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0" fontId="2" fillId="5" borderId="2" xfId="0" applyFont="1" applyFill="1" applyBorder="1" applyAlignment="1">
      <alignment horizontal="left" vertical="center"/>
    </xf>
    <xf numFmtId="0" fontId="3" fillId="5" borderId="2" xfId="0" applyFont="1" applyFill="1" applyBorder="1" applyAlignment="1">
      <alignment horizontal="left" vertical="center"/>
    </xf>
    <xf numFmtId="0" fontId="2" fillId="6" borderId="2" xfId="0" applyNumberFormat="1" applyFont="1" applyFill="1" applyBorder="1" applyAlignment="1">
      <alignment horizontal="right" vertical="center"/>
    </xf>
    <xf numFmtId="0" fontId="0" fillId="6" borderId="2" xfId="0" applyNumberFormat="1" applyFont="1" applyFill="1" applyBorder="1" applyAlignment="1">
      <alignment horizontal="right"/>
    </xf>
    <xf numFmtId="0" fontId="2" fillId="7" borderId="2" xfId="0" applyFont="1" applyFill="1" applyBorder="1" applyAlignment="1">
      <alignment horizontal="left" vertical="center"/>
    </xf>
    <xf numFmtId="0" fontId="0" fillId="7" borderId="2" xfId="0" applyFont="1" applyFill="1" applyBorder="1" applyAlignment="1"/>
    <xf numFmtId="0" fontId="9" fillId="8" borderId="2" xfId="0" applyFont="1" applyFill="1" applyBorder="1" applyAlignment="1">
      <alignment horizontal="left" vertical="center"/>
    </xf>
    <xf numFmtId="0" fontId="9" fillId="9" borderId="2" xfId="0" applyFont="1" applyFill="1" applyBorder="1" applyAlignment="1">
      <alignment horizontal="left" vertical="center"/>
    </xf>
    <xf numFmtId="0" fontId="0" fillId="8" borderId="2" xfId="0" applyFont="1" applyFill="1" applyBorder="1" applyAlignment="1"/>
    <xf numFmtId="0" fontId="0" fillId="9" borderId="2" xfId="0" applyFont="1" applyFill="1" applyBorder="1" applyAlignment="1"/>
    <xf numFmtId="2" fontId="0" fillId="0" borderId="0" xfId="0" applyNumberFormat="1" applyFont="1" applyAlignment="1"/>
    <xf numFmtId="165" fontId="0" fillId="0" borderId="0" xfId="0" applyNumberFormat="1" applyFont="1" applyAlignment="1"/>
  </cellXfs>
  <cellStyles count="1">
    <cellStyle name="Normal" xfId="0" builtinId="0"/>
  </cellStyles>
  <dxfs count="5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numFmt numFmtId="2" formatCode="0.00"/>
    </dxf>
    <dxf>
      <numFmt numFmtId="2" formatCode="0.00"/>
    </dxf>
    <dxf>
      <numFmt numFmtId="2" formatCode="0.00"/>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Tables from Structured Da!PivotTable6</c:name>
    <c:fmtId val="11"/>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7427418832919859"/>
                  <c:h val="0.25682170978627672"/>
                </c:manualLayout>
              </c15:layout>
            </c:ext>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2940394779419695"/>
              <c:y val="-0.189103205849268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205479452054795"/>
                  <c:h val="0.25682170978627672"/>
                </c:manualLayout>
              </c15:layout>
            </c:ext>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4933232660985871"/>
              <c:y val="0.122921259842519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106849315068491"/>
                  <c:h val="0.25682170978627672"/>
                </c:manualLayout>
              </c15:layout>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647660421757624E-2"/>
          <c:y val="4.6296554702814047E-2"/>
          <c:w val="0.93888888888888888"/>
          <c:h val="0.89814814814814814"/>
        </c:manualLayout>
      </c:layout>
      <c:pie3DChart>
        <c:varyColors val="1"/>
        <c:ser>
          <c:idx val="0"/>
          <c:order val="0"/>
          <c:tx>
            <c:strRef>
              <c:f>'Pivot Tables from Structured Da'!$V$3</c:f>
              <c:strCache>
                <c:ptCount val="1"/>
                <c:pt idx="0">
                  <c:v>Total</c:v>
                </c:pt>
              </c:strCache>
            </c:strRef>
          </c:tx>
          <c:explosion val="21"/>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D14-4DAB-8ED7-1A021B0584D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D14-4DAB-8ED7-1A021B0584D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D14-4DAB-8ED7-1A021B0584D6}"/>
              </c:ext>
            </c:extLst>
          </c:dPt>
          <c:dLbls>
            <c:dLbl>
              <c:idx val="0"/>
              <c:dLblPos val="inEnd"/>
              <c:showLegendKey val="0"/>
              <c:showVal val="0"/>
              <c:showCatName val="1"/>
              <c:showSerName val="0"/>
              <c:showPercent val="1"/>
              <c:showBubbleSize val="0"/>
              <c:extLst>
                <c:ext xmlns:c15="http://schemas.microsoft.com/office/drawing/2012/chart" uri="{CE6537A1-D6FC-4f65-9D91-7224C49458BB}">
                  <c15:layout>
                    <c:manualLayout>
                      <c:w val="0.27427418832919859"/>
                      <c:h val="0.25682170978627672"/>
                    </c:manualLayout>
                  </c15:layout>
                </c:ext>
                <c:ext xmlns:c16="http://schemas.microsoft.com/office/drawing/2014/chart" uri="{C3380CC4-5D6E-409C-BE32-E72D297353CC}">
                  <c16:uniqueId val="{00000001-ED14-4DAB-8ED7-1A021B0584D6}"/>
                </c:ext>
              </c:extLst>
            </c:dLbl>
            <c:dLbl>
              <c:idx val="1"/>
              <c:layout>
                <c:manualLayout>
                  <c:x val="0.12940394779419695"/>
                  <c:y val="-0.1891032058492688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205479452054795"/>
                      <c:h val="0.25682170978627672"/>
                    </c:manualLayout>
                  </c15:layout>
                </c:ext>
                <c:ext xmlns:c16="http://schemas.microsoft.com/office/drawing/2014/chart" uri="{C3380CC4-5D6E-409C-BE32-E72D297353CC}">
                  <c16:uniqueId val="{00000003-ED14-4DAB-8ED7-1A021B0584D6}"/>
                </c:ext>
              </c:extLst>
            </c:dLbl>
            <c:dLbl>
              <c:idx val="2"/>
              <c:layout>
                <c:manualLayout>
                  <c:x val="0.14933232660985871"/>
                  <c:y val="0.12292125984251968"/>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106849315068491"/>
                      <c:h val="0.25682170978627672"/>
                    </c:manualLayout>
                  </c15:layout>
                </c:ext>
                <c:ext xmlns:c16="http://schemas.microsoft.com/office/drawing/2014/chart" uri="{C3380CC4-5D6E-409C-BE32-E72D297353CC}">
                  <c16:uniqueId val="{00000005-ED14-4DAB-8ED7-1A021B0584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from Structured Da'!$U$4:$U$7</c:f>
              <c:strCache>
                <c:ptCount val="3"/>
                <c:pt idx="0">
                  <c:v>Electronics</c:v>
                </c:pt>
                <c:pt idx="1">
                  <c:v>Furniture</c:v>
                </c:pt>
                <c:pt idx="2">
                  <c:v>Stationery</c:v>
                </c:pt>
              </c:strCache>
            </c:strRef>
          </c:cat>
          <c:val>
            <c:numRef>
              <c:f>'Pivot Tables from Structured Da'!$V$4:$V$7</c:f>
              <c:numCache>
                <c:formatCode>General</c:formatCode>
                <c:ptCount val="3"/>
                <c:pt idx="0">
                  <c:v>41</c:v>
                </c:pt>
                <c:pt idx="1">
                  <c:v>24</c:v>
                </c:pt>
                <c:pt idx="2">
                  <c:v>35</c:v>
                </c:pt>
              </c:numCache>
            </c:numRef>
          </c:val>
          <c:extLst>
            <c:ext xmlns:c16="http://schemas.microsoft.com/office/drawing/2014/chart" uri="{C3380CC4-5D6E-409C-BE32-E72D297353CC}">
              <c16:uniqueId val="{00000006-ED14-4DAB-8ED7-1A021B0584D6}"/>
            </c:ext>
          </c:extLst>
        </c:ser>
        <c:dLbls>
          <c:dLblPos val="inEnd"/>
          <c:showLegendKey val="0"/>
          <c:showVal val="0"/>
          <c:showCatName val="1"/>
          <c:showSerName val="0"/>
          <c:showPercent val="0"/>
          <c:showBubbleSize val="0"/>
          <c:showLeaderLines val="1"/>
        </c:dLbls>
      </c:pie3DChart>
      <c:spPr>
        <a:noFill/>
        <a:ln>
          <a:noFill/>
        </a:ln>
        <a:effectLst>
          <a:innerShdw blurRad="63500" dist="508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45000"/>
            <a:lumOff val="55000"/>
          </a:schemeClr>
        </a:gs>
        <a:gs pos="100000">
          <a:srgbClr val="00B050"/>
        </a:gs>
      </a:gsLst>
      <a:lin ang="5400000" scaled="1"/>
    </a:gradFill>
    <a:ln w="9525" cap="flat" cmpd="sng" algn="ctr">
      <a:solidFill>
        <a:schemeClr val="dk1">
          <a:lumMod val="15000"/>
          <a:lumOff val="8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Tables from Structured Da!PivotTable4</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effectLst>
                  <a:reflection blurRad="6350" stA="60000" endA="900" endPos="58000" dir="5400000" sy="-100000" algn="bl" rotWithShape="0"/>
                </a:effectLst>
              </a:rPr>
              <a:t>Average Units Sold by Employee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from Structured Da'!$K$4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0-D684-4EBD-B104-FE9451AB73E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684-4EBD-B104-FE9451AB73E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D684-4EBD-B104-FE9451AB73E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684-4EBD-B104-FE9451AB73E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D684-4EBD-B104-FE9451AB73E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684-4EBD-B104-FE9451AB73E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D684-4EBD-B104-FE9451AB73E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684-4EBD-B104-FE9451AB73E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0-D684-4EBD-B104-FE9451AB73E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D684-4EBD-B104-FE9451AB73E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D684-4EBD-B104-FE9451AB73E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D684-4EBD-B104-FE9451AB73E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4-D684-4EBD-B104-FE9451AB73E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D684-4EBD-B104-FE9451AB73E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6-D684-4EBD-B104-FE9451AB73E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D684-4EBD-B104-FE9451AB73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from Structured Da'!$J$5:$J$13</c:f>
              <c:strCache>
                <c:ptCount val="8"/>
                <c:pt idx="0">
                  <c:v>Christi Davis</c:v>
                </c:pt>
                <c:pt idx="1">
                  <c:v>Fatima Zhang</c:v>
                </c:pt>
                <c:pt idx="2">
                  <c:v>Joe Lyn</c:v>
                </c:pt>
                <c:pt idx="3">
                  <c:v>John Taylor</c:v>
                </c:pt>
                <c:pt idx="4">
                  <c:v>Lynda Smith</c:v>
                </c:pt>
                <c:pt idx="5">
                  <c:v>Martina Brands</c:v>
                </c:pt>
                <c:pt idx="6">
                  <c:v>Raj Mehta</c:v>
                </c:pt>
                <c:pt idx="7">
                  <c:v>Ronn Robinson</c:v>
                </c:pt>
              </c:strCache>
            </c:strRef>
          </c:cat>
          <c:val>
            <c:numRef>
              <c:f>'Pivot Tables from Structured Da'!$K$5:$K$13</c:f>
              <c:numCache>
                <c:formatCode>General</c:formatCode>
                <c:ptCount val="8"/>
                <c:pt idx="0">
                  <c:v>34.4</c:v>
                </c:pt>
                <c:pt idx="1">
                  <c:v>36.928571428571431</c:v>
                </c:pt>
                <c:pt idx="2">
                  <c:v>46.266666666666666</c:v>
                </c:pt>
                <c:pt idx="3">
                  <c:v>46.4</c:v>
                </c:pt>
                <c:pt idx="4">
                  <c:v>36.6</c:v>
                </c:pt>
                <c:pt idx="5">
                  <c:v>40.5</c:v>
                </c:pt>
                <c:pt idx="6">
                  <c:v>42.153846153846153</c:v>
                </c:pt>
                <c:pt idx="7">
                  <c:v>43</c:v>
                </c:pt>
              </c:numCache>
            </c:numRef>
          </c:val>
          <c:extLst>
            <c:ext xmlns:c16="http://schemas.microsoft.com/office/drawing/2014/chart" uri="{C3380CC4-5D6E-409C-BE32-E72D297353CC}">
              <c16:uniqueId val="{00000008-D684-4EBD-B104-FE9451AB73E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45000"/>
            <a:lumOff val="55000"/>
          </a:schemeClr>
        </a:gs>
        <a:gs pos="100000">
          <a:srgbClr val="7030A0"/>
        </a:gs>
      </a:gsLst>
      <a:lin ang="5400000" scaled="1"/>
    </a:gra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02.xlsx]Pivot Tables from Structured Da!PivotTable1</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from Structured Da'!$B$3:$B$4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from Structured Da'!$A$5:$A$8</c:f>
              <c:strCache>
                <c:ptCount val="3"/>
                <c:pt idx="0">
                  <c:v>Electronics</c:v>
                </c:pt>
                <c:pt idx="1">
                  <c:v>Furniture</c:v>
                </c:pt>
                <c:pt idx="2">
                  <c:v>Stationery</c:v>
                </c:pt>
              </c:strCache>
            </c:strRef>
          </c:cat>
          <c:val>
            <c:numRef>
              <c:f>'Pivot Tables from Structured Da'!$B$5:$B$8</c:f>
              <c:numCache>
                <c:formatCode>General</c:formatCode>
                <c:ptCount val="3"/>
                <c:pt idx="0">
                  <c:v>566781</c:v>
                </c:pt>
                <c:pt idx="1">
                  <c:v>218758</c:v>
                </c:pt>
                <c:pt idx="2">
                  <c:v>300813</c:v>
                </c:pt>
              </c:numCache>
            </c:numRef>
          </c:val>
          <c:extLst>
            <c:ext xmlns:c16="http://schemas.microsoft.com/office/drawing/2014/chart" uri="{C3380CC4-5D6E-409C-BE32-E72D297353CC}">
              <c16:uniqueId val="{00000000-80CB-48FA-ACDE-2BD27692CA41}"/>
            </c:ext>
          </c:extLst>
        </c:ser>
        <c:ser>
          <c:idx val="1"/>
          <c:order val="1"/>
          <c:tx>
            <c:strRef>
              <c:f>'Pivot Tables from Structured Da'!$C$3:$C$4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from Structured Da'!$A$5:$A$8</c:f>
              <c:strCache>
                <c:ptCount val="3"/>
                <c:pt idx="0">
                  <c:v>Electronics</c:v>
                </c:pt>
                <c:pt idx="1">
                  <c:v>Furniture</c:v>
                </c:pt>
                <c:pt idx="2">
                  <c:v>Stationery</c:v>
                </c:pt>
              </c:strCache>
            </c:strRef>
          </c:cat>
          <c:val>
            <c:numRef>
              <c:f>'Pivot Tables from Structured Da'!$C$5:$C$8</c:f>
              <c:numCache>
                <c:formatCode>General</c:formatCode>
                <c:ptCount val="3"/>
                <c:pt idx="0">
                  <c:v>320173</c:v>
                </c:pt>
                <c:pt idx="1">
                  <c:v>461903</c:v>
                </c:pt>
                <c:pt idx="2">
                  <c:v>563084</c:v>
                </c:pt>
              </c:numCache>
            </c:numRef>
          </c:val>
          <c:extLst>
            <c:ext xmlns:c16="http://schemas.microsoft.com/office/drawing/2014/chart" uri="{C3380CC4-5D6E-409C-BE32-E72D297353CC}">
              <c16:uniqueId val="{00000006-6F8F-4DC0-BB40-1A2C8E2A2523}"/>
            </c:ext>
          </c:extLst>
        </c:ser>
        <c:ser>
          <c:idx val="2"/>
          <c:order val="2"/>
          <c:tx>
            <c:strRef>
              <c:f>'Pivot Tables from Structured Da'!$D$3:$D$4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from Structured Da'!$A$5:$A$8</c:f>
              <c:strCache>
                <c:ptCount val="3"/>
                <c:pt idx="0">
                  <c:v>Electronics</c:v>
                </c:pt>
                <c:pt idx="1">
                  <c:v>Furniture</c:v>
                </c:pt>
                <c:pt idx="2">
                  <c:v>Stationery</c:v>
                </c:pt>
              </c:strCache>
            </c:strRef>
          </c:cat>
          <c:val>
            <c:numRef>
              <c:f>'Pivot Tables from Structured Da'!$D$5:$D$8</c:f>
              <c:numCache>
                <c:formatCode>General</c:formatCode>
                <c:ptCount val="3"/>
                <c:pt idx="0">
                  <c:v>418352</c:v>
                </c:pt>
                <c:pt idx="1">
                  <c:v>129402</c:v>
                </c:pt>
                <c:pt idx="2">
                  <c:v>602055</c:v>
                </c:pt>
              </c:numCache>
            </c:numRef>
          </c:val>
          <c:extLst>
            <c:ext xmlns:c16="http://schemas.microsoft.com/office/drawing/2014/chart" uri="{C3380CC4-5D6E-409C-BE32-E72D297353CC}">
              <c16:uniqueId val="{00000007-6F8F-4DC0-BB40-1A2C8E2A2523}"/>
            </c:ext>
          </c:extLst>
        </c:ser>
        <c:ser>
          <c:idx val="3"/>
          <c:order val="3"/>
          <c:tx>
            <c:strRef>
              <c:f>'Pivot Tables from Structured Da'!$E$3:$E$4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from Structured Da'!$A$5:$A$8</c:f>
              <c:strCache>
                <c:ptCount val="3"/>
                <c:pt idx="0">
                  <c:v>Electronics</c:v>
                </c:pt>
                <c:pt idx="1">
                  <c:v>Furniture</c:v>
                </c:pt>
                <c:pt idx="2">
                  <c:v>Stationery</c:v>
                </c:pt>
              </c:strCache>
            </c:strRef>
          </c:cat>
          <c:val>
            <c:numRef>
              <c:f>'Pivot Tables from Structured Da'!$E$5:$E$8</c:f>
              <c:numCache>
                <c:formatCode>General</c:formatCode>
                <c:ptCount val="3"/>
                <c:pt idx="0">
                  <c:v>576603</c:v>
                </c:pt>
                <c:pt idx="1">
                  <c:v>467469</c:v>
                </c:pt>
                <c:pt idx="2">
                  <c:v>525464</c:v>
                </c:pt>
              </c:numCache>
            </c:numRef>
          </c:val>
          <c:extLst>
            <c:ext xmlns:c16="http://schemas.microsoft.com/office/drawing/2014/chart" uri="{C3380CC4-5D6E-409C-BE32-E72D297353CC}">
              <c16:uniqueId val="{0000000A-6F8F-4DC0-BB40-1A2C8E2A2523}"/>
            </c:ext>
          </c:extLst>
        </c:ser>
        <c:ser>
          <c:idx val="4"/>
          <c:order val="4"/>
          <c:tx>
            <c:strRef>
              <c:f>'Pivot Tables from Structured Da'!$F$3:$F$4</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from Structured Da'!$A$5:$A$8</c:f>
              <c:strCache>
                <c:ptCount val="3"/>
                <c:pt idx="0">
                  <c:v>Electronics</c:v>
                </c:pt>
                <c:pt idx="1">
                  <c:v>Furniture</c:v>
                </c:pt>
                <c:pt idx="2">
                  <c:v>Stationery</c:v>
                </c:pt>
              </c:strCache>
            </c:strRef>
          </c:cat>
          <c:val>
            <c:numRef>
              <c:f>'Pivot Tables from Structured Da'!$F$5:$F$8</c:f>
              <c:numCache>
                <c:formatCode>General</c:formatCode>
                <c:ptCount val="3"/>
                <c:pt idx="0">
                  <c:v>355817</c:v>
                </c:pt>
                <c:pt idx="1">
                  <c:v>141979</c:v>
                </c:pt>
                <c:pt idx="2">
                  <c:v>212628</c:v>
                </c:pt>
              </c:numCache>
            </c:numRef>
          </c:val>
          <c:extLst>
            <c:ext xmlns:c16="http://schemas.microsoft.com/office/drawing/2014/chart" uri="{C3380CC4-5D6E-409C-BE32-E72D297353CC}">
              <c16:uniqueId val="{0000000B-6F8F-4DC0-BB40-1A2C8E2A2523}"/>
            </c:ext>
          </c:extLst>
        </c:ser>
        <c:dLbls>
          <c:dLblPos val="inEnd"/>
          <c:showLegendKey val="0"/>
          <c:showVal val="1"/>
          <c:showCatName val="0"/>
          <c:showSerName val="0"/>
          <c:showPercent val="0"/>
          <c:showBubbleSize val="0"/>
        </c:dLbls>
        <c:gapWidth val="115"/>
        <c:overlap val="-20"/>
        <c:axId val="299276895"/>
        <c:axId val="299277375"/>
      </c:barChart>
      <c:catAx>
        <c:axId val="299276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277375"/>
        <c:crosses val="autoZero"/>
        <c:auto val="1"/>
        <c:lblAlgn val="ctr"/>
        <c:lblOffset val="100"/>
        <c:noMultiLvlLbl val="0"/>
      </c:catAx>
      <c:valAx>
        <c:axId val="29927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2768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90805">
          <a:schemeClr val="accent1">
            <a:lumMod val="60000"/>
            <a:lumOff val="40000"/>
          </a:schemeClr>
        </a:gs>
        <a:gs pos="0">
          <a:schemeClr val="accent1">
            <a:lumMod val="45000"/>
            <a:lumOff val="55000"/>
          </a:schemeClr>
        </a:gs>
        <a:gs pos="74000">
          <a:schemeClr val="accent1">
            <a:lumMod val="40000"/>
            <a:lumOff val="60000"/>
          </a:schemeClr>
        </a:gs>
      </a:gsLst>
      <a:lin ang="5400000" scaled="1"/>
    </a:gradFill>
    <a:ln w="9525" cap="flat" cmpd="sng" algn="ctr">
      <a:no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02.xlsx]Quarter unit sold!PivotTable5</c:name>
    <c:fmtId val="13"/>
  </c:pivotSource>
  <c:chart>
    <c:autoTitleDeleted val="1"/>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19225721784772"/>
          <c:y val="0.13786818314377369"/>
          <c:w val="0.45237248468941382"/>
          <c:h val="0.75010279965004378"/>
        </c:manualLayout>
      </c:layout>
      <c:barChart>
        <c:barDir val="bar"/>
        <c:grouping val="clustered"/>
        <c:varyColors val="0"/>
        <c:ser>
          <c:idx val="0"/>
          <c:order val="0"/>
          <c:tx>
            <c:strRef>
              <c:f>'Quarter unit sold'!$B$3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50000"/>
                    <a:lumOff val="50000"/>
                  </a:schemeClr>
                </a:solidFill>
                <a:round/>
              </a:ln>
              <a:effectLst/>
            </c:spPr>
          </c:errBars>
          <c:cat>
            <c:strRef>
              <c:f>'Quarter unit sold'!$A$4:$A$8</c:f>
              <c:strCache>
                <c:ptCount val="4"/>
                <c:pt idx="0">
                  <c:v>Qtr1</c:v>
                </c:pt>
                <c:pt idx="1">
                  <c:v>Qtr2</c:v>
                </c:pt>
                <c:pt idx="2">
                  <c:v>Qtr3</c:v>
                </c:pt>
                <c:pt idx="3">
                  <c:v>Qtr4</c:v>
                </c:pt>
              </c:strCache>
            </c:strRef>
          </c:cat>
          <c:val>
            <c:numRef>
              <c:f>'Quarter unit sold'!$B$4:$B$8</c:f>
              <c:numCache>
                <c:formatCode>General</c:formatCode>
                <c:ptCount val="4"/>
                <c:pt idx="0">
                  <c:v>976</c:v>
                </c:pt>
                <c:pt idx="1">
                  <c:v>876</c:v>
                </c:pt>
                <c:pt idx="2">
                  <c:v>705</c:v>
                </c:pt>
                <c:pt idx="3">
                  <c:v>1507</c:v>
                </c:pt>
              </c:numCache>
            </c:numRef>
          </c:val>
          <c:extLst>
            <c:ext xmlns:c16="http://schemas.microsoft.com/office/drawing/2014/chart" uri="{C3380CC4-5D6E-409C-BE32-E72D297353CC}">
              <c16:uniqueId val="{00000000-85EB-45C6-994A-C22F03B7B951}"/>
            </c:ext>
          </c:extLst>
        </c:ser>
        <c:dLbls>
          <c:dLblPos val="outEnd"/>
          <c:showLegendKey val="0"/>
          <c:showVal val="1"/>
          <c:showCatName val="0"/>
          <c:showSerName val="0"/>
          <c:showPercent val="0"/>
          <c:showBubbleSize val="0"/>
        </c:dLbls>
        <c:gapWidth val="164"/>
        <c:axId val="874695471"/>
        <c:axId val="874690671"/>
      </c:barChart>
      <c:catAx>
        <c:axId val="874695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4690671"/>
        <c:crosses val="autoZero"/>
        <c:auto val="1"/>
        <c:lblAlgn val="ctr"/>
        <c:lblOffset val="100"/>
        <c:noMultiLvlLbl val="0"/>
      </c:catAx>
      <c:valAx>
        <c:axId val="8746906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4695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3">
            <a:lumMod val="50000"/>
          </a:schemeClr>
        </a:gs>
        <a:gs pos="100000">
          <a:schemeClr val="accent2">
            <a:lumMod val="20000"/>
            <a:lumOff val="80000"/>
          </a:schemeClr>
        </a:gs>
      </a:gsLst>
      <a:lin ang="5400000" scaled="1"/>
    </a:gradFill>
    <a:ln w="9525" cap="flat" cmpd="sng" algn="ctr">
      <a:solidFill>
        <a:schemeClr val="tx1">
          <a:lumMod val="15000"/>
          <a:lumOff val="85000"/>
        </a:schemeClr>
      </a:solidFill>
      <a:round/>
    </a:ln>
    <a:effectLst>
      <a:outerShdw blurRad="50800" dist="38100" dir="13500000" algn="br" rotWithShape="0">
        <a:prstClr val="black">
          <a:alpha val="40000"/>
        </a:prstClr>
      </a:outerShdw>
    </a:effectLst>
    <a:scene3d>
      <a:camera prst="orthographicFront"/>
      <a:lightRig rig="threePt" dir="t"/>
    </a:scene3d>
    <a:sp3d>
      <a:bevelT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02.xlsx]Advanced Reporting  Calculated !PivotTable2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'Advanced Reporting  Calculated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'Advanced Reporting  Calculated '!$A$4:$A$12</c:f>
              <c:strCache>
                <c:ptCount val="8"/>
                <c:pt idx="0">
                  <c:v>EMP001</c:v>
                </c:pt>
                <c:pt idx="1">
                  <c:v>EMP002</c:v>
                </c:pt>
                <c:pt idx="2">
                  <c:v>EMP003</c:v>
                </c:pt>
                <c:pt idx="3">
                  <c:v>EMP004</c:v>
                </c:pt>
                <c:pt idx="4">
                  <c:v>EMP005</c:v>
                </c:pt>
                <c:pt idx="5">
                  <c:v>EMP006</c:v>
                </c:pt>
                <c:pt idx="6">
                  <c:v>EMP007</c:v>
                </c:pt>
                <c:pt idx="7">
                  <c:v>EMP008</c:v>
                </c:pt>
              </c:strCache>
            </c:strRef>
          </c:cat>
          <c:val>
            <c:numRef>
              <c:f>'Advanced Reporting  Calculated '!$B$4:$B$12</c:f>
              <c:numCache>
                <c:formatCode>General</c:formatCode>
                <c:ptCount val="8"/>
                <c:pt idx="0">
                  <c:v>17427.350000000002</c:v>
                </c:pt>
                <c:pt idx="1">
                  <c:v>20234.25</c:v>
                </c:pt>
                <c:pt idx="2">
                  <c:v>21144.15</c:v>
                </c:pt>
                <c:pt idx="3">
                  <c:v>21501.4</c:v>
                </c:pt>
                <c:pt idx="4">
                  <c:v>42687.099999999991</c:v>
                </c:pt>
                <c:pt idx="5">
                  <c:v>30824.000000000004</c:v>
                </c:pt>
                <c:pt idx="6">
                  <c:v>12846.6</c:v>
                </c:pt>
                <c:pt idx="7">
                  <c:v>14691.150000000001</c:v>
                </c:pt>
              </c:numCache>
            </c:numRef>
          </c:val>
          <c:extLst>
            <c:ext xmlns:c16="http://schemas.microsoft.com/office/drawing/2014/chart" uri="{C3380CC4-5D6E-409C-BE32-E72D297353CC}">
              <c16:uniqueId val="{00000000-1017-44D3-876A-63EB01AB4D4A}"/>
            </c:ext>
          </c:extLst>
        </c:ser>
        <c:dLbls>
          <c:showLegendKey val="0"/>
          <c:showVal val="1"/>
          <c:showCatName val="0"/>
          <c:showSerName val="0"/>
          <c:showPercent val="0"/>
          <c:showBubbleSize val="0"/>
        </c:dLbls>
        <c:gapWidth val="150"/>
        <c:shape val="box"/>
        <c:axId val="1099975071"/>
        <c:axId val="1099963071"/>
        <c:axId val="0"/>
      </c:bar3DChart>
      <c:catAx>
        <c:axId val="109997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9963071"/>
        <c:crosses val="autoZero"/>
        <c:auto val="1"/>
        <c:lblAlgn val="ctr"/>
        <c:lblOffset val="100"/>
        <c:noMultiLvlLbl val="0"/>
      </c:catAx>
      <c:valAx>
        <c:axId val="109996307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9997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0"/>
          </a:schemeClr>
        </a:gs>
        <a:gs pos="100000">
          <a:schemeClr val="accent4">
            <a:lumMod val="60000"/>
            <a:lumOff val="4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440534</xdr:colOff>
      <xdr:row>55</xdr:row>
      <xdr:rowOff>98778</xdr:rowOff>
    </xdr:to>
    <xdr:pic>
      <xdr:nvPicPr>
        <xdr:cNvPr id="25" name="Picture 24">
          <a:extLst>
            <a:ext uri="{FF2B5EF4-FFF2-40B4-BE49-F238E27FC236}">
              <a16:creationId xmlns:a16="http://schemas.microsoft.com/office/drawing/2014/main" id="{069F62FD-5E66-2F64-B40D-E31073B4F0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216756" cy="10188222"/>
        </a:xfrm>
        <a:prstGeom prst="rect">
          <a:avLst/>
        </a:prstGeom>
        <a:gradFill>
          <a:gsLst>
            <a:gs pos="0">
              <a:schemeClr val="accent3">
                <a:lumMod val="50000"/>
              </a:schemeClr>
            </a:gs>
            <a:gs pos="100000">
              <a:schemeClr val="accent2">
                <a:lumMod val="20000"/>
                <a:lumOff val="80000"/>
              </a:schemeClr>
            </a:gs>
          </a:gsLst>
          <a:lin ang="5400000" scaled="1"/>
        </a:gradFill>
      </xdr:spPr>
    </xdr:pic>
    <xdr:clientData/>
  </xdr:twoCellAnchor>
  <xdr:twoCellAnchor>
    <xdr:from>
      <xdr:col>3</xdr:col>
      <xdr:colOff>469900</xdr:colOff>
      <xdr:row>0</xdr:row>
      <xdr:rowOff>69850</xdr:rowOff>
    </xdr:from>
    <xdr:to>
      <xdr:col>16</xdr:col>
      <xdr:colOff>571500</xdr:colOff>
      <xdr:row>3</xdr:row>
      <xdr:rowOff>63500</xdr:rowOff>
    </xdr:to>
    <xdr:sp macro="" textlink="">
      <xdr:nvSpPr>
        <xdr:cNvPr id="3" name="TextBox 2">
          <a:extLst>
            <a:ext uri="{FF2B5EF4-FFF2-40B4-BE49-F238E27FC236}">
              <a16:creationId xmlns:a16="http://schemas.microsoft.com/office/drawing/2014/main" id="{26B647B9-15A8-8F45-8605-19EDF6BC29BE}"/>
            </a:ext>
          </a:extLst>
        </xdr:cNvPr>
        <xdr:cNvSpPr txBox="1"/>
      </xdr:nvSpPr>
      <xdr:spPr>
        <a:xfrm>
          <a:off x="2298700" y="69850"/>
          <a:ext cx="80264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prst="relaxedInset"/>
          </a:sp3d>
        </a:bodyPr>
        <a:lstStyle/>
        <a:p>
          <a:r>
            <a:rPr lang="en-US" sz="1100" b="1" i="0" u="none" strike="noStrike" cap="none" spc="0" baseline="0">
              <a:ln/>
              <a:solidFill>
                <a:schemeClr val="accent4"/>
              </a:solidFill>
              <a:effectLst/>
              <a:latin typeface="+mn-lt"/>
              <a:ea typeface="+mn-ea"/>
              <a:cs typeface="+mn-cs"/>
            </a:rPr>
            <a:t> </a:t>
          </a:r>
          <a:r>
            <a:rPr lang="en-US" sz="3200" b="1" i="0" u="none" strike="noStrike" cap="none" spc="0" baseline="0">
              <a:ln/>
              <a:solidFill>
                <a:schemeClr val="accent4"/>
              </a:solidFill>
              <a:effectLst>
                <a:glow rad="139700">
                  <a:schemeClr val="accent2">
                    <a:satMod val="175000"/>
                    <a:alpha val="40000"/>
                  </a:schemeClr>
                </a:glow>
              </a:effectLst>
              <a:latin typeface="+mn-lt"/>
              <a:ea typeface="+mn-ea"/>
              <a:cs typeface="+mn-cs"/>
            </a:rPr>
            <a:t>Workforce &amp; Sales Intelligence Dashboard </a:t>
          </a:r>
          <a:endParaRPr lang="en-US" sz="1100" b="1" cap="none" spc="0">
            <a:ln/>
            <a:solidFill>
              <a:schemeClr val="accent4"/>
            </a:solidFill>
            <a:effectLst>
              <a:glow rad="139700">
                <a:schemeClr val="accent2">
                  <a:satMod val="175000"/>
                  <a:alpha val="40000"/>
                </a:schemeClr>
              </a:glow>
            </a:effectLst>
          </a:endParaRPr>
        </a:p>
      </xdr:txBody>
    </xdr:sp>
    <xdr:clientData/>
  </xdr:twoCellAnchor>
  <xdr:twoCellAnchor>
    <xdr:from>
      <xdr:col>3</xdr:col>
      <xdr:colOff>508000</xdr:colOff>
      <xdr:row>4</xdr:row>
      <xdr:rowOff>0</xdr:rowOff>
    </xdr:from>
    <xdr:to>
      <xdr:col>7</xdr:col>
      <xdr:colOff>361950</xdr:colOff>
      <xdr:row>11</xdr:row>
      <xdr:rowOff>31750</xdr:rowOff>
    </xdr:to>
    <xdr:sp macro="" textlink="">
      <xdr:nvSpPr>
        <xdr:cNvPr id="2" name="Rectangle: Rounded Corners 1">
          <a:extLst>
            <a:ext uri="{FF2B5EF4-FFF2-40B4-BE49-F238E27FC236}">
              <a16:creationId xmlns:a16="http://schemas.microsoft.com/office/drawing/2014/main" id="{9CA24C36-160E-2CCC-EF85-0F5E36200FF5}"/>
            </a:ext>
          </a:extLst>
        </xdr:cNvPr>
        <xdr:cNvSpPr/>
      </xdr:nvSpPr>
      <xdr:spPr>
        <a:xfrm>
          <a:off x="2336800" y="736600"/>
          <a:ext cx="2292350" cy="1320800"/>
        </a:xfrm>
        <a:prstGeom prst="roundRect">
          <a:avLst/>
        </a:prstGeom>
        <a:gradFill>
          <a:gsLst>
            <a:gs pos="100000">
              <a:srgbClr val="7030A0"/>
            </a:gs>
            <a:gs pos="0">
              <a:schemeClr val="accent1">
                <a:lumMod val="30000"/>
                <a:lumOff val="70000"/>
              </a:schemeClr>
            </a:gs>
          </a:gsLst>
          <a:lin ang="135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endParaRPr lang="en-US" sz="1100"/>
        </a:p>
      </xdr:txBody>
    </xdr:sp>
    <xdr:clientData/>
  </xdr:twoCellAnchor>
  <xdr:twoCellAnchor>
    <xdr:from>
      <xdr:col>12</xdr:col>
      <xdr:colOff>374650</xdr:colOff>
      <xdr:row>3</xdr:row>
      <xdr:rowOff>171450</xdr:rowOff>
    </xdr:from>
    <xdr:to>
      <xdr:col>16</xdr:col>
      <xdr:colOff>285750</xdr:colOff>
      <xdr:row>11</xdr:row>
      <xdr:rowOff>25400</xdr:rowOff>
    </xdr:to>
    <xdr:sp macro="" textlink="">
      <xdr:nvSpPr>
        <xdr:cNvPr id="5" name="Rectangle: Rounded Corners 4">
          <a:extLst>
            <a:ext uri="{FF2B5EF4-FFF2-40B4-BE49-F238E27FC236}">
              <a16:creationId xmlns:a16="http://schemas.microsoft.com/office/drawing/2014/main" id="{5709DB19-A7E3-498A-A975-807DC00B7EF5}"/>
            </a:ext>
          </a:extLst>
        </xdr:cNvPr>
        <xdr:cNvSpPr/>
      </xdr:nvSpPr>
      <xdr:spPr>
        <a:xfrm>
          <a:off x="7689850" y="723900"/>
          <a:ext cx="2349500" cy="1327150"/>
        </a:xfrm>
        <a:prstGeom prst="roundRect">
          <a:avLst/>
        </a:prstGeom>
        <a:gradFill>
          <a:gsLst>
            <a:gs pos="100000">
              <a:srgbClr val="FFFF00"/>
            </a:gs>
            <a:gs pos="0">
              <a:srgbClr val="00B0F0"/>
            </a:gs>
          </a:gsLst>
          <a:lin ang="135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endParaRPr lang="en-US" sz="1100"/>
        </a:p>
      </xdr:txBody>
    </xdr:sp>
    <xdr:clientData/>
  </xdr:twoCellAnchor>
  <xdr:twoCellAnchor editAs="oneCell">
    <xdr:from>
      <xdr:col>0</xdr:col>
      <xdr:colOff>120650</xdr:colOff>
      <xdr:row>0</xdr:row>
      <xdr:rowOff>133350</xdr:rowOff>
    </xdr:from>
    <xdr:to>
      <xdr:col>3</xdr:col>
      <xdr:colOff>120650</xdr:colOff>
      <xdr:row>14</xdr:row>
      <xdr:rowOff>79375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CEF41A79-6F0E-4861-B04C-036E84BDBFD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650" y="133350"/>
              <a:ext cx="1820333" cy="251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15</xdr:row>
      <xdr:rowOff>19050</xdr:rowOff>
    </xdr:from>
    <xdr:to>
      <xdr:col>3</xdr:col>
      <xdr:colOff>158750</xdr:colOff>
      <xdr:row>28</xdr:row>
      <xdr:rowOff>149225</xdr:rowOff>
    </xdr:to>
    <mc:AlternateContent xmlns:mc="http://schemas.openxmlformats.org/markup-compatibility/2006" xmlns:a14="http://schemas.microsoft.com/office/drawing/2010/main">
      <mc:Choice Requires="a14">
        <xdr:graphicFrame macro="">
          <xdr:nvGraphicFramePr>
            <xdr:cNvPr id="8" name="Employee Name">
              <a:extLst>
                <a:ext uri="{FF2B5EF4-FFF2-40B4-BE49-F238E27FC236}">
                  <a16:creationId xmlns:a16="http://schemas.microsoft.com/office/drawing/2014/main" id="{DCC38C42-C3C0-44FD-B548-4BA5F0DEDBEC}"/>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58750" y="2770717"/>
              <a:ext cx="1820333" cy="2514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508000</xdr:colOff>
      <xdr:row>2</xdr:row>
      <xdr:rowOff>139700</xdr:rowOff>
    </xdr:from>
    <xdr:to>
      <xdr:col>20</xdr:col>
      <xdr:colOff>349250</xdr:colOff>
      <xdr:row>12</xdr:row>
      <xdr:rowOff>133350</xdr:rowOff>
    </xdr:to>
    <xdr:graphicFrame macro="">
      <xdr:nvGraphicFramePr>
        <xdr:cNvPr id="9" name="Chart 8">
          <a:extLst>
            <a:ext uri="{FF2B5EF4-FFF2-40B4-BE49-F238E27FC236}">
              <a16:creationId xmlns:a16="http://schemas.microsoft.com/office/drawing/2014/main" id="{984BF0B2-0239-494A-ACF2-C42E9E4B5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5</xdr:row>
      <xdr:rowOff>12700</xdr:rowOff>
    </xdr:from>
    <xdr:to>
      <xdr:col>6</xdr:col>
      <xdr:colOff>539750</xdr:colOff>
      <xdr:row>7</xdr:row>
      <xdr:rowOff>6350</xdr:rowOff>
    </xdr:to>
    <xdr:sp macro="" textlink="">
      <xdr:nvSpPr>
        <xdr:cNvPr id="10" name="TextBox 9">
          <a:extLst>
            <a:ext uri="{FF2B5EF4-FFF2-40B4-BE49-F238E27FC236}">
              <a16:creationId xmlns:a16="http://schemas.microsoft.com/office/drawing/2014/main" id="{EDA0CE3C-A7C3-EE80-0FD9-FC6B28B76E85}"/>
            </a:ext>
          </a:extLst>
        </xdr:cNvPr>
        <xdr:cNvSpPr txBox="1"/>
      </xdr:nvSpPr>
      <xdr:spPr>
        <a:xfrm>
          <a:off x="2628900" y="933450"/>
          <a:ext cx="1568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Revenue</a:t>
          </a:r>
        </a:p>
      </xdr:txBody>
    </xdr:sp>
    <xdr:clientData/>
  </xdr:twoCellAnchor>
  <xdr:twoCellAnchor>
    <xdr:from>
      <xdr:col>4</xdr:col>
      <xdr:colOff>165100</xdr:colOff>
      <xdr:row>7</xdr:row>
      <xdr:rowOff>88900</xdr:rowOff>
    </xdr:from>
    <xdr:to>
      <xdr:col>6</xdr:col>
      <xdr:colOff>501650</xdr:colOff>
      <xdr:row>9</xdr:row>
      <xdr:rowOff>57150</xdr:rowOff>
    </xdr:to>
    <xdr:sp macro="" textlink="'Pivot Tables from Structured Da'!E12">
      <xdr:nvSpPr>
        <xdr:cNvPr id="18" name="TextBox 17">
          <a:extLst>
            <a:ext uri="{FF2B5EF4-FFF2-40B4-BE49-F238E27FC236}">
              <a16:creationId xmlns:a16="http://schemas.microsoft.com/office/drawing/2014/main" id="{B5FF5B2A-F25E-46FA-B768-F8C51B8FD190}"/>
            </a:ext>
          </a:extLst>
        </xdr:cNvPr>
        <xdr:cNvSpPr txBox="1"/>
      </xdr:nvSpPr>
      <xdr:spPr>
        <a:xfrm>
          <a:off x="2603500" y="1377950"/>
          <a:ext cx="15557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0434FE-DA04-46C7-A233-4EF13A193C85}" type="TxLink">
            <a:rPr lang="en-US" sz="1400" b="1" i="0" u="none" strike="noStrike">
              <a:solidFill>
                <a:srgbClr val="000000"/>
              </a:solidFill>
              <a:latin typeface="Calibri"/>
              <a:ea typeface="Calibri"/>
              <a:cs typeface="Calibri"/>
            </a:rPr>
            <a:pPr algn="ctr"/>
            <a:t>₹ 58,61,281</a:t>
          </a:fld>
          <a:endParaRPr lang="en-US" sz="1400" b="1"/>
        </a:p>
      </xdr:txBody>
    </xdr:sp>
    <xdr:clientData/>
  </xdr:twoCellAnchor>
  <xdr:twoCellAnchor>
    <xdr:from>
      <xdr:col>12</xdr:col>
      <xdr:colOff>565150</xdr:colOff>
      <xdr:row>4</xdr:row>
      <xdr:rowOff>158750</xdr:rowOff>
    </xdr:from>
    <xdr:to>
      <xdr:col>16</xdr:col>
      <xdr:colOff>279400</xdr:colOff>
      <xdr:row>7</xdr:row>
      <xdr:rowOff>0</xdr:rowOff>
    </xdr:to>
    <xdr:sp macro="" textlink="">
      <xdr:nvSpPr>
        <xdr:cNvPr id="21" name="TextBox 20">
          <a:extLst>
            <a:ext uri="{FF2B5EF4-FFF2-40B4-BE49-F238E27FC236}">
              <a16:creationId xmlns:a16="http://schemas.microsoft.com/office/drawing/2014/main" id="{C3934795-8CE6-4F88-BC0D-45D9F1017115}"/>
            </a:ext>
          </a:extLst>
        </xdr:cNvPr>
        <xdr:cNvSpPr txBox="1"/>
      </xdr:nvSpPr>
      <xdr:spPr>
        <a:xfrm>
          <a:off x="7880350" y="895350"/>
          <a:ext cx="215265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Avg </a:t>
          </a:r>
          <a:r>
            <a:rPr lang="en-US" sz="1400" b="1"/>
            <a:t>Unit</a:t>
          </a:r>
          <a:r>
            <a:rPr lang="en-US" sz="1600" b="1" baseline="0"/>
            <a:t> per Employee</a:t>
          </a:r>
          <a:endParaRPr lang="en-US" sz="1600" b="1"/>
        </a:p>
      </xdr:txBody>
    </xdr:sp>
    <xdr:clientData/>
  </xdr:twoCellAnchor>
  <xdr:twoCellAnchor>
    <xdr:from>
      <xdr:col>13</xdr:col>
      <xdr:colOff>184150</xdr:colOff>
      <xdr:row>7</xdr:row>
      <xdr:rowOff>12700</xdr:rowOff>
    </xdr:from>
    <xdr:to>
      <xdr:col>15</xdr:col>
      <xdr:colOff>323850</xdr:colOff>
      <xdr:row>8</xdr:row>
      <xdr:rowOff>165100</xdr:rowOff>
    </xdr:to>
    <xdr:sp macro="" textlink="'Pivot Tables from Structured Da'!K14">
      <xdr:nvSpPr>
        <xdr:cNvPr id="22" name="TextBox 21">
          <a:extLst>
            <a:ext uri="{FF2B5EF4-FFF2-40B4-BE49-F238E27FC236}">
              <a16:creationId xmlns:a16="http://schemas.microsoft.com/office/drawing/2014/main" id="{BC05E924-F066-4E43-844E-76BE7FCB7E95}"/>
            </a:ext>
          </a:extLst>
        </xdr:cNvPr>
        <xdr:cNvSpPr txBox="1"/>
      </xdr:nvSpPr>
      <xdr:spPr>
        <a:xfrm>
          <a:off x="8108950" y="1301750"/>
          <a:ext cx="13589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94103A-753D-4295-A40C-A6FD77D44D32}" type="TxLink">
            <a:rPr lang="en-US" sz="1600" b="1" i="0" u="none" strike="noStrike">
              <a:solidFill>
                <a:srgbClr val="000000"/>
              </a:solidFill>
              <a:latin typeface="Calibri"/>
              <a:ea typeface="Calibri"/>
              <a:cs typeface="Calibri"/>
            </a:rPr>
            <a:pPr algn="ctr"/>
            <a:t>40.64</a:t>
          </a:fld>
          <a:endParaRPr lang="en-US" sz="1600" b="1"/>
        </a:p>
      </xdr:txBody>
    </xdr:sp>
    <xdr:clientData/>
  </xdr:twoCellAnchor>
  <xdr:twoCellAnchor>
    <xdr:from>
      <xdr:col>16</xdr:col>
      <xdr:colOff>0</xdr:colOff>
      <xdr:row>13</xdr:row>
      <xdr:rowOff>0</xdr:rowOff>
    </xdr:from>
    <xdr:to>
      <xdr:col>18</xdr:col>
      <xdr:colOff>336550</xdr:colOff>
      <xdr:row>14</xdr:row>
      <xdr:rowOff>152400</xdr:rowOff>
    </xdr:to>
    <xdr:sp macro="" textlink="">
      <xdr:nvSpPr>
        <xdr:cNvPr id="24" name="TextBox 23">
          <a:extLst>
            <a:ext uri="{FF2B5EF4-FFF2-40B4-BE49-F238E27FC236}">
              <a16:creationId xmlns:a16="http://schemas.microsoft.com/office/drawing/2014/main" id="{527DA014-39EC-4AB1-BB15-F9DF202120FC}"/>
            </a:ext>
          </a:extLst>
        </xdr:cNvPr>
        <xdr:cNvSpPr txBox="1"/>
      </xdr:nvSpPr>
      <xdr:spPr>
        <a:xfrm>
          <a:off x="9753600" y="2393950"/>
          <a:ext cx="15557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17</xdr:col>
      <xdr:colOff>412750</xdr:colOff>
      <xdr:row>11</xdr:row>
      <xdr:rowOff>139700</xdr:rowOff>
    </xdr:from>
    <xdr:to>
      <xdr:col>20</xdr:col>
      <xdr:colOff>139700</xdr:colOff>
      <xdr:row>13</xdr:row>
      <xdr:rowOff>107950</xdr:rowOff>
    </xdr:to>
    <xdr:sp macro="" textlink="">
      <xdr:nvSpPr>
        <xdr:cNvPr id="26" name="TextBox 25">
          <a:extLst>
            <a:ext uri="{FF2B5EF4-FFF2-40B4-BE49-F238E27FC236}">
              <a16:creationId xmlns:a16="http://schemas.microsoft.com/office/drawing/2014/main" id="{0D36CC99-FF5E-4EE7-90EF-5ABDB141000F}"/>
            </a:ext>
          </a:extLst>
        </xdr:cNvPr>
        <xdr:cNvSpPr txBox="1"/>
      </xdr:nvSpPr>
      <xdr:spPr>
        <a:xfrm>
          <a:off x="10775950" y="2165350"/>
          <a:ext cx="15557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349250</xdr:colOff>
      <xdr:row>1</xdr:row>
      <xdr:rowOff>76200</xdr:rowOff>
    </xdr:from>
    <xdr:to>
      <xdr:col>19</xdr:col>
      <xdr:colOff>419100</xdr:colOff>
      <xdr:row>3</xdr:row>
      <xdr:rowOff>76200</xdr:rowOff>
    </xdr:to>
    <xdr:sp macro="" textlink="">
      <xdr:nvSpPr>
        <xdr:cNvPr id="27" name="TextBox 26">
          <a:extLst>
            <a:ext uri="{FF2B5EF4-FFF2-40B4-BE49-F238E27FC236}">
              <a16:creationId xmlns:a16="http://schemas.microsoft.com/office/drawing/2014/main" id="{DC9EA3FC-1940-42FC-A808-4512CD96278F}"/>
            </a:ext>
          </a:extLst>
        </xdr:cNvPr>
        <xdr:cNvSpPr txBox="1"/>
      </xdr:nvSpPr>
      <xdr:spPr>
        <a:xfrm>
          <a:off x="10102850" y="260350"/>
          <a:ext cx="18986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6</xdr:col>
      <xdr:colOff>285750</xdr:colOff>
      <xdr:row>8</xdr:row>
      <xdr:rowOff>57150</xdr:rowOff>
    </xdr:from>
    <xdr:to>
      <xdr:col>7</xdr:col>
      <xdr:colOff>203200</xdr:colOff>
      <xdr:row>10</xdr:row>
      <xdr:rowOff>146050</xdr:rowOff>
    </xdr:to>
    <xdr:pic>
      <xdr:nvPicPr>
        <xdr:cNvPr id="29" name="Graphic 28" descr="Money with solid fill">
          <a:extLst>
            <a:ext uri="{FF2B5EF4-FFF2-40B4-BE49-F238E27FC236}">
              <a16:creationId xmlns:a16="http://schemas.microsoft.com/office/drawing/2014/main" id="{B4106880-B223-340D-5AF4-33652072AF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43350" y="1530350"/>
          <a:ext cx="527050" cy="457200"/>
        </a:xfrm>
        <a:prstGeom prst="rect">
          <a:avLst/>
        </a:prstGeom>
      </xdr:spPr>
    </xdr:pic>
    <xdr:clientData/>
  </xdr:twoCellAnchor>
  <xdr:twoCellAnchor>
    <xdr:from>
      <xdr:col>8</xdr:col>
      <xdr:colOff>107950</xdr:colOff>
      <xdr:row>3</xdr:row>
      <xdr:rowOff>165100</xdr:rowOff>
    </xdr:from>
    <xdr:to>
      <xdr:col>11</xdr:col>
      <xdr:colOff>552450</xdr:colOff>
      <xdr:row>11</xdr:row>
      <xdr:rowOff>44450</xdr:rowOff>
    </xdr:to>
    <xdr:grpSp>
      <xdr:nvGrpSpPr>
        <xdr:cNvPr id="36" name="Group 35">
          <a:extLst>
            <a:ext uri="{FF2B5EF4-FFF2-40B4-BE49-F238E27FC236}">
              <a16:creationId xmlns:a16="http://schemas.microsoft.com/office/drawing/2014/main" id="{3EC6DC8A-A0F0-6D19-B620-0ED5F3BA1C30}"/>
            </a:ext>
          </a:extLst>
        </xdr:cNvPr>
        <xdr:cNvGrpSpPr/>
      </xdr:nvGrpSpPr>
      <xdr:grpSpPr>
        <a:xfrm>
          <a:off x="4962172" y="715433"/>
          <a:ext cx="2264834" cy="1346906"/>
          <a:chOff x="4984750" y="717550"/>
          <a:chExt cx="2273300" cy="1352550"/>
        </a:xfrm>
      </xdr:grpSpPr>
      <xdr:sp macro="" textlink="">
        <xdr:nvSpPr>
          <xdr:cNvPr id="4" name="Rectangle: Rounded Corners 3">
            <a:extLst>
              <a:ext uri="{FF2B5EF4-FFF2-40B4-BE49-F238E27FC236}">
                <a16:creationId xmlns:a16="http://schemas.microsoft.com/office/drawing/2014/main" id="{505E27F2-3E0A-4B5F-9643-D95368F67DBD}"/>
              </a:ext>
            </a:extLst>
          </xdr:cNvPr>
          <xdr:cNvSpPr/>
        </xdr:nvSpPr>
        <xdr:spPr>
          <a:xfrm>
            <a:off x="4984750" y="717550"/>
            <a:ext cx="2273300" cy="1352550"/>
          </a:xfrm>
          <a:prstGeom prst="roundRect">
            <a:avLst/>
          </a:prstGeom>
          <a:gradFill flip="none" rotWithShape="1">
            <a:gsLst>
              <a:gs pos="100000">
                <a:srgbClr val="C00000"/>
              </a:gs>
              <a:gs pos="0">
                <a:schemeClr val="accent1">
                  <a:lumMod val="30000"/>
                  <a:lumOff val="70000"/>
                </a:schemeClr>
              </a:gs>
            </a:gsLst>
            <a:lin ang="13500000" scaled="1"/>
            <a:tileRect/>
          </a:gradFill>
          <a:ln>
            <a:noFill/>
          </a:ln>
          <a:effectLst>
            <a:outerShdw blurRad="50800" dist="38100" dir="5400000" algn="t"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endParaRPr lang="en-US" sz="1100"/>
          </a:p>
        </xdr:txBody>
      </xdr:sp>
      <xdr:sp macro="" textlink="">
        <xdr:nvSpPr>
          <xdr:cNvPr id="20" name="TextBox 19">
            <a:extLst>
              <a:ext uri="{FF2B5EF4-FFF2-40B4-BE49-F238E27FC236}">
                <a16:creationId xmlns:a16="http://schemas.microsoft.com/office/drawing/2014/main" id="{F0047B1E-CEE3-4E33-B8CE-77945CEF422B}"/>
              </a:ext>
            </a:extLst>
          </xdr:cNvPr>
          <xdr:cNvSpPr txBox="1"/>
        </xdr:nvSpPr>
        <xdr:spPr>
          <a:xfrm>
            <a:off x="5359400" y="882650"/>
            <a:ext cx="15557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unit sold</a:t>
            </a:r>
          </a:p>
        </xdr:txBody>
      </xdr:sp>
      <xdr:sp macro="" textlink="'Pivot Tables from Structured Da'!Q14">
        <xdr:nvSpPr>
          <xdr:cNvPr id="23" name="TextBox 22">
            <a:extLst>
              <a:ext uri="{FF2B5EF4-FFF2-40B4-BE49-F238E27FC236}">
                <a16:creationId xmlns:a16="http://schemas.microsoft.com/office/drawing/2014/main" id="{BC971466-D149-42ED-9B43-E79A6B3C1F27}"/>
              </a:ext>
            </a:extLst>
          </xdr:cNvPr>
          <xdr:cNvSpPr txBox="1"/>
        </xdr:nvSpPr>
        <xdr:spPr>
          <a:xfrm>
            <a:off x="5403850" y="1250950"/>
            <a:ext cx="15557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35EC39-BE10-42CA-9572-3622E10C3D1D}" type="TxLink">
              <a:rPr lang="en-US" sz="1600" b="1" i="0" u="none" strike="noStrike">
                <a:solidFill>
                  <a:srgbClr val="000000"/>
                </a:solidFill>
                <a:latin typeface="Calibri"/>
                <a:ea typeface="Calibri"/>
                <a:cs typeface="Calibri"/>
              </a:rPr>
              <a:pPr algn="ctr"/>
              <a:t>4064</a:t>
            </a:fld>
            <a:endParaRPr lang="en-US" sz="1600" b="1"/>
          </a:p>
        </xdr:txBody>
      </xdr:sp>
      <xdr:pic>
        <xdr:nvPicPr>
          <xdr:cNvPr id="31" name="Graphic 30" descr="Statistics with solid fill">
            <a:extLst>
              <a:ext uri="{FF2B5EF4-FFF2-40B4-BE49-F238E27FC236}">
                <a16:creationId xmlns:a16="http://schemas.microsoft.com/office/drawing/2014/main" id="{584FD7CA-16CB-F47A-F1E4-FFB0AD9AA7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07150" y="1587500"/>
            <a:ext cx="609600" cy="431800"/>
          </a:xfrm>
          <a:prstGeom prst="rect">
            <a:avLst/>
          </a:prstGeom>
        </xdr:spPr>
      </xdr:pic>
    </xdr:grpSp>
    <xdr:clientData/>
  </xdr:twoCellAnchor>
  <xdr:twoCellAnchor editAs="oneCell">
    <xdr:from>
      <xdr:col>15</xdr:col>
      <xdr:colOff>292100</xdr:colOff>
      <xdr:row>8</xdr:row>
      <xdr:rowOff>82550</xdr:rowOff>
    </xdr:from>
    <xdr:to>
      <xdr:col>16</xdr:col>
      <xdr:colOff>209550</xdr:colOff>
      <xdr:row>11</xdr:row>
      <xdr:rowOff>57150</xdr:rowOff>
    </xdr:to>
    <xdr:pic>
      <xdr:nvPicPr>
        <xdr:cNvPr id="33" name="Graphic 32" descr="Employee badge with solid fill">
          <a:extLst>
            <a:ext uri="{FF2B5EF4-FFF2-40B4-BE49-F238E27FC236}">
              <a16:creationId xmlns:a16="http://schemas.microsoft.com/office/drawing/2014/main" id="{B0ECF14D-BFA0-BCB5-03E3-ED17D26473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436100" y="1555750"/>
          <a:ext cx="527050" cy="527050"/>
        </a:xfrm>
        <a:prstGeom prst="rect">
          <a:avLst/>
        </a:prstGeom>
      </xdr:spPr>
    </xdr:pic>
    <xdr:clientData/>
  </xdr:twoCellAnchor>
  <xdr:twoCellAnchor>
    <xdr:from>
      <xdr:col>3</xdr:col>
      <xdr:colOff>381000</xdr:colOff>
      <xdr:row>15</xdr:row>
      <xdr:rowOff>177800</xdr:rowOff>
    </xdr:from>
    <xdr:to>
      <xdr:col>11</xdr:col>
      <xdr:colOff>336550</xdr:colOff>
      <xdr:row>28</xdr:row>
      <xdr:rowOff>139700</xdr:rowOff>
    </xdr:to>
    <xdr:graphicFrame macro="">
      <xdr:nvGraphicFramePr>
        <xdr:cNvPr id="35" name="Chart 34">
          <a:extLst>
            <a:ext uri="{FF2B5EF4-FFF2-40B4-BE49-F238E27FC236}">
              <a16:creationId xmlns:a16="http://schemas.microsoft.com/office/drawing/2014/main" id="{3A7C4D3C-B268-48FE-AD44-E35667178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76200</xdr:colOff>
      <xdr:row>16</xdr:row>
      <xdr:rowOff>0</xdr:rowOff>
    </xdr:from>
    <xdr:to>
      <xdr:col>20</xdr:col>
      <xdr:colOff>222250</xdr:colOff>
      <xdr:row>28</xdr:row>
      <xdr:rowOff>165100</xdr:rowOff>
    </xdr:to>
    <xdr:graphicFrame macro="">
      <xdr:nvGraphicFramePr>
        <xdr:cNvPr id="37" name="Chart 36">
          <a:extLst>
            <a:ext uri="{FF2B5EF4-FFF2-40B4-BE49-F238E27FC236}">
              <a16:creationId xmlns:a16="http://schemas.microsoft.com/office/drawing/2014/main" id="{8E3456CC-B394-41F5-B7A7-685CB2A7B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169333</xdr:colOff>
      <xdr:row>31</xdr:row>
      <xdr:rowOff>7056</xdr:rowOff>
    </xdr:from>
    <xdr:to>
      <xdr:col>10</xdr:col>
      <xdr:colOff>197555</xdr:colOff>
      <xdr:row>45</xdr:row>
      <xdr:rowOff>182034</xdr:rowOff>
    </xdr:to>
    <xdr:graphicFrame macro="">
      <xdr:nvGraphicFramePr>
        <xdr:cNvPr id="14" name="Chart 13">
          <a:extLst>
            <a:ext uri="{FF2B5EF4-FFF2-40B4-BE49-F238E27FC236}">
              <a16:creationId xmlns:a16="http://schemas.microsoft.com/office/drawing/2014/main" id="{68DB699F-EE7B-4811-A2E6-3EF0EA0E3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465666</xdr:colOff>
      <xdr:row>30</xdr:row>
      <xdr:rowOff>169334</xdr:rowOff>
    </xdr:from>
    <xdr:to>
      <xdr:col>20</xdr:col>
      <xdr:colOff>303388</xdr:colOff>
      <xdr:row>46</xdr:row>
      <xdr:rowOff>14113</xdr:rowOff>
    </xdr:to>
    <xdr:graphicFrame macro="">
      <xdr:nvGraphicFramePr>
        <xdr:cNvPr id="17" name="Chart 16">
          <a:extLst>
            <a:ext uri="{FF2B5EF4-FFF2-40B4-BE49-F238E27FC236}">
              <a16:creationId xmlns:a16="http://schemas.microsoft.com/office/drawing/2014/main" id="{BE3C9F7A-7CCE-464B-A7D9-87E17B0AE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31750</xdr:colOff>
      <xdr:row>0</xdr:row>
      <xdr:rowOff>133350</xdr:rowOff>
    </xdr:from>
    <xdr:to>
      <xdr:col>44</xdr:col>
      <xdr:colOff>609600</xdr:colOff>
      <xdr:row>7</xdr:row>
      <xdr:rowOff>0</xdr:rowOff>
    </xdr:to>
    <xdr:sp macro="" textlink="">
      <xdr:nvSpPr>
        <xdr:cNvPr id="2" name="Rectangle: Rounded Corners 1">
          <a:extLst>
            <a:ext uri="{FF2B5EF4-FFF2-40B4-BE49-F238E27FC236}">
              <a16:creationId xmlns:a16="http://schemas.microsoft.com/office/drawing/2014/main" id="{AA289FC6-542A-28C2-0B4D-DB0DBC228455}"/>
            </a:ext>
          </a:extLst>
        </xdr:cNvPr>
        <xdr:cNvSpPr/>
      </xdr:nvSpPr>
      <xdr:spPr>
        <a:xfrm>
          <a:off x="20383500" y="133350"/>
          <a:ext cx="6051550" cy="1155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228600</xdr:colOff>
      <xdr:row>1</xdr:row>
      <xdr:rowOff>82550</xdr:rowOff>
    </xdr:from>
    <xdr:to>
      <xdr:col>44</xdr:col>
      <xdr:colOff>546100</xdr:colOff>
      <xdr:row>6</xdr:row>
      <xdr:rowOff>146050</xdr:rowOff>
    </xdr:to>
    <xdr:sp macro="" textlink="">
      <xdr:nvSpPr>
        <xdr:cNvPr id="3" name="TextBox 2">
          <a:extLst>
            <a:ext uri="{FF2B5EF4-FFF2-40B4-BE49-F238E27FC236}">
              <a16:creationId xmlns:a16="http://schemas.microsoft.com/office/drawing/2014/main" id="{026567CA-BA76-DFD4-4CCA-DE430905C182}"/>
            </a:ext>
          </a:extLst>
        </xdr:cNvPr>
        <xdr:cNvSpPr txBox="1"/>
      </xdr:nvSpPr>
      <xdr:spPr>
        <a:xfrm>
          <a:off x="20580350" y="266700"/>
          <a:ext cx="5791200" cy="984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4.XLOOKUP simplified linking datasets by replacing older functions like VLOOKUP, HLOOKUP and INDEX-MATCH with a single, flexible formula. It can search both left and right, unlike VLOOKUP, and works with both vertical and horizontal data. XLOOKUP has a cleaner syntax and allows a default value if no match is found. This makes combining data from different tables easier and faster.</a:t>
          </a:r>
        </a:p>
      </xdr:txBody>
    </xdr:sp>
    <xdr:clientData/>
  </xdr:twoCellAnchor>
  <xdr:twoCellAnchor>
    <xdr:from>
      <xdr:col>31</xdr:col>
      <xdr:colOff>311150</xdr:colOff>
      <xdr:row>7</xdr:row>
      <xdr:rowOff>152400</xdr:rowOff>
    </xdr:from>
    <xdr:to>
      <xdr:col>45</xdr:col>
      <xdr:colOff>158750</xdr:colOff>
      <xdr:row>15</xdr:row>
      <xdr:rowOff>25400</xdr:rowOff>
    </xdr:to>
    <xdr:sp macro="" textlink="">
      <xdr:nvSpPr>
        <xdr:cNvPr id="4" name="Rectangle 3">
          <a:extLst>
            <a:ext uri="{FF2B5EF4-FFF2-40B4-BE49-F238E27FC236}">
              <a16:creationId xmlns:a16="http://schemas.microsoft.com/office/drawing/2014/main" id="{CFBD8FA1-4534-A6EB-EF87-62E28EC06C2E}"/>
            </a:ext>
          </a:extLst>
        </xdr:cNvPr>
        <xdr:cNvSpPr/>
      </xdr:nvSpPr>
      <xdr:spPr>
        <a:xfrm>
          <a:off x="20339050" y="1441450"/>
          <a:ext cx="6343650" cy="13462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33</xdr:col>
      <xdr:colOff>25400</xdr:colOff>
      <xdr:row>8</xdr:row>
      <xdr:rowOff>127000</xdr:rowOff>
    </xdr:from>
    <xdr:to>
      <xdr:col>45</xdr:col>
      <xdr:colOff>63500</xdr:colOff>
      <xdr:row>14</xdr:row>
      <xdr:rowOff>107950</xdr:rowOff>
    </xdr:to>
    <xdr:sp macro="" textlink="">
      <xdr:nvSpPr>
        <xdr:cNvPr id="5" name="TextBox 4">
          <a:extLst>
            <a:ext uri="{FF2B5EF4-FFF2-40B4-BE49-F238E27FC236}">
              <a16:creationId xmlns:a16="http://schemas.microsoft.com/office/drawing/2014/main" id="{812A1BA3-015D-F48A-2072-45779AAC0193}"/>
            </a:ext>
          </a:extLst>
        </xdr:cNvPr>
        <xdr:cNvSpPr txBox="1"/>
      </xdr:nvSpPr>
      <xdr:spPr>
        <a:xfrm>
          <a:off x="20650200" y="1600200"/>
          <a:ext cx="5937250" cy="1085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5. To enhance the dashboard, you can add Slicers and Timelines for easy filtering of data. Use Conditional Formatting to highlight key trends or values. Dynamic charts with drop-down menus allow users to choose what data to view. Include PivotTables and PivotCharts for interactive summaries. Sparklines can show quick trends within cells. Adding form controls like buttons or checkboxes makes the dashboard more interactive.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4.764501157406" createdVersion="8" refreshedVersion="8" minRefreshableVersion="3" recordCount="100" xr:uid="{A4323B43-4033-4AF6-B4E8-F3B915226BC2}">
  <cacheSource type="worksheet">
    <worksheetSource ref="A1:K101" sheet="MonthlySalesData"/>
  </cacheSource>
  <cacheFields count="14">
    <cacheField name="Transaction ID" numFmtId="0">
      <sharedItems containsSemiMixedTypes="0" containsString="0" containsNumber="1" containsInteger="1" minValue="112584" maxValue="985975"/>
    </cacheField>
    <cacheField name="Sale Date" numFmtId="14">
      <sharedItems containsSemiMixedTypes="0" containsNonDate="0" containsDate="1" containsString="0" minDate="2023-01-07T00:00:00" maxDate="2023-12-30T00:00:00" count="8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2"/>
    </cacheField>
    <cacheField name="Employee Name" numFmtId="0">
      <sharedItems count="8">
        <s v="Raj Mehta"/>
        <s v="Ronn Robinson"/>
        <s v="Martina Brands"/>
        <s v="Lynda Smith"/>
        <s v="Fatima Zhang"/>
        <s v="John Taylor"/>
        <s v="Joe Lyn"/>
        <s v="Christi Davis"/>
      </sharedItems>
    </cacheField>
    <cacheField name="Employee ID" numFmtId="0">
      <sharedItems count="8">
        <s v="EMP002"/>
        <s v="EMP003"/>
        <s v="EMP007"/>
        <s v="EMP001"/>
        <s v="EMP006"/>
        <s v="EMP008"/>
        <s v="EMP005"/>
        <s v="EMP004"/>
      </sharedItems>
    </cacheField>
    <cacheField name="Month" numFmtId="164">
      <sharedItems count="12">
        <s v="JAN"/>
        <s v="FEB"/>
        <s v="MAR"/>
        <s v="APR"/>
        <s v="MAY"/>
        <s v="JUN"/>
        <s v="JUL"/>
        <s v="AUG"/>
        <s v="SEP"/>
        <s v="OCT"/>
        <s v="NOV"/>
        <s v="DEC"/>
      </sharedItems>
    </cacheField>
    <cacheField name="Department" numFmtId="164">
      <sharedItems count="3">
        <s v="Marketing"/>
        <s v="Sales"/>
        <s v="Operations"/>
      </sharedItems>
    </cacheField>
    <cacheField name="Product Category" numFmtId="0">
      <sharedItems count="3">
        <s v="Electronics"/>
        <s v="Stationery"/>
        <s v="Furniture"/>
      </sharedItems>
    </cacheField>
    <cacheField name="Units Sold" numFmtId="0">
      <sharedItems containsSemiMixedTypes="0" containsString="0" containsNumber="1" containsInteger="1" minValue="20" maxValue="60"/>
    </cacheField>
    <cacheField name="Revenue" numFmtId="0">
      <sharedItems containsSemiMixedTypes="0" containsString="0" containsNumber="1" containsInteger="1" minValue="21440" maxValue="111240" count="99">
        <n v="36939"/>
        <n v="43992"/>
        <n v="22660"/>
        <n v="66165"/>
        <n v="49606"/>
        <n v="63356"/>
        <n v="28444"/>
        <n v="73660"/>
        <n v="60858"/>
        <n v="97980"/>
        <n v="25104"/>
        <n v="64158"/>
        <n v="111240"/>
        <n v="55638"/>
        <n v="95700"/>
        <n v="44190"/>
        <n v="74520"/>
        <n v="56400"/>
        <n v="55143"/>
        <n v="36859"/>
        <n v="81966"/>
        <n v="38794"/>
        <n v="31212"/>
        <n v="61770"/>
        <n v="66621"/>
        <n v="95472"/>
        <n v="54910"/>
        <n v="92560"/>
        <n v="91140"/>
        <n v="46560"/>
        <n v="51969"/>
        <n v="28658"/>
        <n v="93585"/>
        <n v="98450"/>
        <n v="64383"/>
        <n v="54912"/>
        <n v="77486"/>
        <n v="41861"/>
        <n v="21440"/>
        <n v="46248"/>
        <n v="62345"/>
        <n v="89040"/>
        <n v="35072"/>
        <n v="66740"/>
        <n v="32476"/>
        <n v="38208"/>
        <n v="39835"/>
        <n v="60500"/>
        <n v="48700"/>
        <n v="76092"/>
        <n v="44088"/>
        <n v="80511"/>
        <n v="34626"/>
        <n v="42320"/>
        <n v="45609"/>
        <n v="62002"/>
        <n v="70112"/>
        <n v="76958"/>
        <n v="43524"/>
        <n v="50580"/>
        <n v="64827"/>
        <n v="92984"/>
        <n v="66092"/>
        <n v="55513"/>
        <n v="107734"/>
        <n v="50986"/>
        <n v="45760"/>
        <n v="70470"/>
        <n v="78000"/>
        <n v="38665"/>
        <n v="52770"/>
        <n v="55495"/>
        <n v="55944"/>
        <n v="53110"/>
        <n v="51030"/>
        <n v="75516"/>
        <n v="65975"/>
        <n v="54374"/>
        <n v="43031"/>
        <n v="41338"/>
        <n v="55104"/>
        <n v="45056"/>
        <n v="69552"/>
        <n v="23478"/>
        <n v="24442"/>
        <n v="76140"/>
        <n v="37620"/>
        <n v="61963"/>
        <n v="46899"/>
        <n v="61364"/>
        <n v="93338"/>
        <n v="50427"/>
        <n v="71148"/>
        <n v="50220"/>
        <n v="45950"/>
        <n v="62050"/>
        <n v="52010"/>
        <n v="95340"/>
        <n v="71859"/>
      </sharedItems>
      <fieldGroup base="8">
        <rangePr autoStart="0" autoEnd="0" startNum="0" endNum="300000" groupInterval="20000"/>
        <groupItems count="17">
          <s v="&lt;0"/>
          <s v="0-19999"/>
          <s v="20000-39999"/>
          <s v="40000-59999"/>
          <s v="60000-79999"/>
          <s v="80000-99999"/>
          <s v="100000-119999"/>
          <s v="120000-139999"/>
          <s v="140000-159999"/>
          <s v="160000-179999"/>
          <s v="180000-199999"/>
          <s v="200000-219999"/>
          <s v="220000-239999"/>
          <s v="240000-259999"/>
          <s v="260000-279999"/>
          <s v="280000-300000"/>
          <s v="&gt;300000"/>
        </groupItems>
      </fieldGroup>
    </cacheField>
    <cacheField name="Target" numFmtId="0">
      <sharedItems containsSemiMixedTypes="0" containsString="0" containsNumber="1" containsInteger="1" minValue="14109" maxValue="110263"/>
    </cacheField>
    <cacheField name="Region" numFmtId="0">
      <sharedItems count="5">
        <s v="South"/>
        <s v="East"/>
        <s v="North"/>
        <s v="Central"/>
        <s v="West"/>
      </sharedItems>
    </cacheField>
    <cacheField name="Months (Sale Date)" numFmtId="0" databaseField="0">
      <fieldGroup base="1">
        <rangePr groupBy="months" startDate="2023-01-07T00:00:00" endDate="2023-12-30T00:00:00"/>
        <groupItems count="14">
          <s v="&lt;07-01-2023"/>
          <s v="Jan"/>
          <s v="Feb"/>
          <s v="Mar"/>
          <s v="Apr"/>
          <s v="May"/>
          <s v="Jun"/>
          <s v="Jul"/>
          <s v="Aug"/>
          <s v="Sep"/>
          <s v="Oct"/>
          <s v="Nov"/>
          <s v="Dec"/>
          <s v="&gt;30-12-2023"/>
        </groupItems>
      </fieldGroup>
    </cacheField>
    <cacheField name="Quarters (Sale Date)" numFmtId="0" databaseField="0">
      <fieldGroup base="1">
        <rangePr groupBy="quarters" startDate="2023-01-07T00:00:00" endDate="2023-12-30T00:00:00"/>
        <groupItems count="6">
          <s v="&lt;07-01-2023"/>
          <s v="Qtr1"/>
          <s v="Qtr2"/>
          <s v="Qtr3"/>
          <s v="Qtr4"/>
          <s v="&gt;30-12-2023"/>
        </groupItems>
      </fieldGroup>
    </cacheField>
    <cacheField name="Bonus" numFmtId="0" formula="IF(Revenue&gt;=Target,Revenue*5%,0)" databaseField="0"/>
  </cacheFields>
  <extLst>
    <ext xmlns:x14="http://schemas.microsoft.com/office/spreadsheetml/2009/9/main" uri="{725AE2AE-9491-48be-B2B4-4EB974FC3084}">
      <x14:pivotCacheDefinition pivotCacheId="19631363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5.038866319446" createdVersion="8" refreshedVersion="8" minRefreshableVersion="3" recordCount="100" xr:uid="{5C766F15-AEF1-488E-AE5A-659981061F88}">
  <cacheSource type="worksheet">
    <worksheetSource ref="A1:M101" sheet="MonthlySalesData"/>
  </cacheSource>
  <cacheFields count="15">
    <cacheField name="Transaction ID" numFmtId="0">
      <sharedItems containsSemiMixedTypes="0" containsString="0" containsNumber="1" containsInteger="1" minValue="112584" maxValue="985975"/>
    </cacheField>
    <cacheField name="Sale Date" numFmtId="14">
      <sharedItems containsSemiMixedTypes="0" containsNonDate="0" containsDate="1" containsString="0" minDate="2023-01-07T00:00:00" maxDate="2023-12-30T00:00:00" count="8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4"/>
    </cacheField>
    <cacheField name="Employee Name" numFmtId="0">
      <sharedItems count="8">
        <s v="Raj Mehta"/>
        <s v="Ronn Robinson"/>
        <s v="Martina Brands"/>
        <s v="Lynda Smith"/>
        <s v="Fatima Zhang"/>
        <s v="John Taylor"/>
        <s v="Joe Lyn"/>
        <s v="Christi Davis"/>
      </sharedItems>
    </cacheField>
    <cacheField name="Employee ID" numFmtId="0">
      <sharedItems count="8">
        <s v="EMP002"/>
        <s v="EMP003"/>
        <s v="EMP007"/>
        <s v="EMP001"/>
        <s v="EMP006"/>
        <s v="EMP008"/>
        <s v="EMP005"/>
        <s v="EMP004"/>
      </sharedItems>
    </cacheField>
    <cacheField name="Month" numFmtId="164">
      <sharedItems count="12">
        <s v="JAN"/>
        <s v="FEB"/>
        <s v="MAR"/>
        <s v="APR"/>
        <s v="MAY"/>
        <s v="JUN"/>
        <s v="JUL"/>
        <s v="AUG"/>
        <s v="SEP"/>
        <s v="OCT"/>
        <s v="NOV"/>
        <s v="DEC"/>
      </sharedItems>
    </cacheField>
    <cacheField name="Department" numFmtId="164">
      <sharedItems count="3">
        <s v="Marketing"/>
        <s v="Sales"/>
        <s v="Operations"/>
      </sharedItems>
    </cacheField>
    <cacheField name="Product Category" numFmtId="0">
      <sharedItems count="3">
        <s v="Electronics"/>
        <s v="Stationery"/>
        <s v="Furniture"/>
      </sharedItems>
    </cacheField>
    <cacheField name="Units Sold" numFmtId="0">
      <sharedItems containsSemiMixedTypes="0" containsString="0" containsNumber="1" containsInteger="1" minValue="20" maxValue="60"/>
    </cacheField>
    <cacheField name="Revenue" numFmtId="0">
      <sharedItems containsSemiMixedTypes="0" containsString="0" containsNumber="1" containsInteger="1" minValue="21440" maxValue="111240"/>
    </cacheField>
    <cacheField name="Target" numFmtId="0">
      <sharedItems containsSemiMixedTypes="0" containsString="0" containsNumber="1" containsInteger="1" minValue="14109" maxValue="110263"/>
    </cacheField>
    <cacheField name="Region" numFmtId="0">
      <sharedItems/>
    </cacheField>
    <cacheField name="Bench Marks" numFmtId="0">
      <sharedItems containsSemiMixedTypes="0" containsString="0" containsNumber="1" containsInteger="1" minValue="45000" maxValue="68500"/>
    </cacheField>
    <cacheField name="Bonus" numFmtId="0">
      <sharedItems containsSemiMixedTypes="0" containsString="0" containsNumber="1" minValue="0" maxValue="5562"/>
    </cacheField>
    <cacheField name="Field1" numFmtId="0" formula="IF(Revenue&gt;=Target,Revenue*5%,0)" databaseField="0"/>
    <cacheField name="Quarters (Sale Date)" numFmtId="0" databaseField="0">
      <fieldGroup base="1">
        <rangePr groupBy="quarters" startDate="2023-01-07T00:00:00" endDate="2023-12-30T00:00:00"/>
        <groupItems count="6">
          <s v="&lt;07-01-2023"/>
          <s v="Qtr1"/>
          <s v="Qtr2"/>
          <s v="Qtr3"/>
          <s v="Qtr4"/>
          <s v="&gt;30-12-2023"/>
        </groupItems>
      </fieldGroup>
    </cacheField>
  </cacheFields>
  <extLst>
    <ext xmlns:x14="http://schemas.microsoft.com/office/spreadsheetml/2009/9/main" uri="{725AE2AE-9491-48be-B2B4-4EB974FC3084}">
      <x14:pivotCacheDefinition pivotCacheId="10373934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6.729110300927" createdVersion="8" refreshedVersion="8" minRefreshableVersion="3" recordCount="100" xr:uid="{E4C7C37A-57F2-440A-A94A-65AFF3637559}">
  <cacheSource type="worksheet">
    <worksheetSource ref="A1:N101" sheet="MonthlySalesData"/>
  </cacheSource>
  <cacheFields count="16">
    <cacheField name="Transaction ID" numFmtId="0">
      <sharedItems containsSemiMixedTypes="0" containsString="0" containsNumber="1" containsInteger="1" minValue="112584" maxValue="985975"/>
    </cacheField>
    <cacheField name="Sale Date" numFmtId="14">
      <sharedItems containsSemiMixedTypes="0" containsNonDate="0" containsDate="1" containsString="0" minDate="2023-01-07T00:00:00" maxDate="2023-12-30T00:00:00" count="8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5"/>
    </cacheField>
    <cacheField name="Employee Name" numFmtId="0">
      <sharedItems count="8">
        <s v="Raj Mehta"/>
        <s v="Ronn Robinson"/>
        <s v="Martina Brands"/>
        <s v="Lynda Smith"/>
        <s v="Fatima Zhang"/>
        <s v="John Taylor"/>
        <s v="Joe Lyn"/>
        <s v="Christi Davis"/>
      </sharedItems>
    </cacheField>
    <cacheField name="Employee ID" numFmtId="0">
      <sharedItems count="8">
        <s v="EMP002"/>
        <s v="EMP003"/>
        <s v="EMP007"/>
        <s v="EMP001"/>
        <s v="EMP006"/>
        <s v="EMP008"/>
        <s v="EMP005"/>
        <s v="EMP004"/>
      </sharedItems>
    </cacheField>
    <cacheField name="Month" numFmtId="164">
      <sharedItems count="12">
        <s v="JAN"/>
        <s v="FEB"/>
        <s v="MAR"/>
        <s v="APR"/>
        <s v="MAY"/>
        <s v="JUN"/>
        <s v="JUL"/>
        <s v="AUG"/>
        <s v="SEP"/>
        <s v="OCT"/>
        <s v="NOV"/>
        <s v="DEC"/>
      </sharedItems>
    </cacheField>
    <cacheField name="Department" numFmtId="164">
      <sharedItems/>
    </cacheField>
    <cacheField name="Product Category" numFmtId="0">
      <sharedItems/>
    </cacheField>
    <cacheField name="Units Sold" numFmtId="0">
      <sharedItems containsSemiMixedTypes="0" containsString="0" containsNumber="1" containsInteger="1" minValue="20" maxValue="60"/>
    </cacheField>
    <cacheField name="Revenue" numFmtId="0">
      <sharedItems containsSemiMixedTypes="0" containsString="0" containsNumber="1" containsInteger="1" minValue="21440" maxValue="111240"/>
    </cacheField>
    <cacheField name="Target" numFmtId="0">
      <sharedItems containsSemiMixedTypes="0" containsString="0" containsNumber="1" containsInteger="1" minValue="14109" maxValue="110263" count="100">
        <n v="37433"/>
        <n v="36857"/>
        <n v="26125"/>
        <n v="59434"/>
        <n v="44952"/>
        <n v="63804"/>
        <n v="27220"/>
        <n v="65437"/>
        <n v="59657"/>
        <n v="88473"/>
        <n v="19270"/>
        <n v="67504"/>
        <n v="110263"/>
        <n v="56264"/>
        <n v="97897"/>
        <n v="42974"/>
        <n v="66932"/>
        <n v="57014"/>
        <n v="51964"/>
        <n v="39572"/>
        <n v="72257"/>
        <n v="35446"/>
        <n v="25932"/>
        <n v="60466"/>
        <n v="62557"/>
        <n v="96101"/>
        <n v="57319"/>
        <n v="94633"/>
        <n v="86163"/>
        <n v="38803"/>
        <n v="55137"/>
        <n v="19273"/>
        <n v="97452"/>
        <n v="94443"/>
        <n v="60548"/>
        <n v="48908"/>
        <n v="80504"/>
        <n v="37223"/>
        <n v="14843"/>
        <n v="50734"/>
        <n v="59392"/>
        <n v="86296"/>
        <n v="38484"/>
        <n v="64089"/>
        <n v="25545"/>
        <n v="34422"/>
        <n v="37256"/>
        <n v="64672"/>
        <n v="41354"/>
        <n v="77590"/>
        <n v="42692"/>
        <n v="73543"/>
        <n v="34765"/>
        <n v="46499"/>
        <n v="42289"/>
        <n v="55940"/>
        <n v="65627"/>
        <n v="72396"/>
        <n v="37552"/>
        <n v="53436"/>
        <n v="57509"/>
        <n v="96346"/>
        <n v="68922"/>
        <n v="57929"/>
        <n v="102020"/>
        <n v="41599"/>
        <n v="41696"/>
        <n v="63713"/>
        <n v="78886"/>
        <n v="43607"/>
        <n v="50531"/>
        <n v="58663"/>
        <n v="47270"/>
        <n v="57425"/>
        <n v="44856"/>
        <n v="71343"/>
        <n v="68313"/>
        <n v="53932"/>
        <n v="35131"/>
        <n v="38627"/>
        <n v="46661"/>
        <n v="44678"/>
        <n v="66206"/>
        <n v="14109"/>
        <n v="19668"/>
        <n v="72761"/>
        <n v="31008"/>
        <n v="65817"/>
        <n v="37153"/>
        <n v="59772"/>
        <n v="39866"/>
        <n v="93408"/>
        <n v="51984"/>
        <n v="68904"/>
        <n v="53831"/>
        <n v="38644"/>
        <n v="63788"/>
        <n v="46995"/>
        <n v="97155"/>
        <n v="72862"/>
      </sharedItems>
    </cacheField>
    <cacheField name="Region" numFmtId="0">
      <sharedItems count="5">
        <s v="South"/>
        <s v="East"/>
        <s v="North"/>
        <s v="Central"/>
        <s v="West"/>
      </sharedItems>
    </cacheField>
    <cacheField name="Bench Marks" numFmtId="0">
      <sharedItems containsSemiMixedTypes="0" containsString="0" containsNumber="1" containsInteger="1" minValue="45000" maxValue="68500"/>
    </cacheField>
    <cacheField name="Bonus" numFmtId="0">
      <sharedItems containsSemiMixedTypes="0" containsString="0" containsNumber="1" minValue="0" maxValue="5562"/>
    </cacheField>
    <cacheField name="Target achieved" numFmtId="0">
      <sharedItems count="2">
        <s v="No"/>
        <s v="Ture"/>
      </sharedItems>
    </cacheField>
    <cacheField name="Field1" numFmtId="0" formula="IF(Revenue&gt;=Target,Revenue*5%,0)" databaseField="0"/>
    <cacheField name="Quarters (Sale Date)" numFmtId="0" databaseField="0">
      <fieldGroup base="1">
        <rangePr groupBy="quarters" startDate="2023-01-07T00:00:00" endDate="2023-12-30T00:00:00"/>
        <groupItems count="6">
          <s v="&lt;07-01-2023"/>
          <s v="Qtr1"/>
          <s v="Qtr2"/>
          <s v="Qtr3"/>
          <s v="Qtr4"/>
          <s v="&gt;30-12-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6.74895335648" createdVersion="8" refreshedVersion="8" minRefreshableVersion="3" recordCount="100" xr:uid="{25D88293-0437-4056-AFF3-DD97DD073919}">
  <cacheSource type="worksheet">
    <worksheetSource ref="A1:O101" sheet="MonthlySalesData"/>
  </cacheSource>
  <cacheFields count="17">
    <cacheField name="Transaction ID" numFmtId="0">
      <sharedItems containsSemiMixedTypes="0" containsString="0" containsNumber="1" containsInteger="1" minValue="112584" maxValue="985975"/>
    </cacheField>
    <cacheField name="Sale Date" numFmtId="14">
      <sharedItems containsSemiMixedTypes="0" containsNonDate="0" containsDate="1" containsString="0" minDate="2023-01-07T00:00:00" maxDate="2023-12-30T00:00:00" count="8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6"/>
    </cacheField>
    <cacheField name="Employee Name" numFmtId="0">
      <sharedItems count="8">
        <s v="Raj Mehta"/>
        <s v="Ronn Robinson"/>
        <s v="Martina Brands"/>
        <s v="Lynda Smith"/>
        <s v="Fatima Zhang"/>
        <s v="John Taylor"/>
        <s v="Joe Lyn"/>
        <s v="Christi Davis"/>
      </sharedItems>
    </cacheField>
    <cacheField name="Employee ID" numFmtId="0">
      <sharedItems/>
    </cacheField>
    <cacheField name="Month" numFmtId="164">
      <sharedItems count="12">
        <s v="JAN"/>
        <s v="FEB"/>
        <s v="MAR"/>
        <s v="APR"/>
        <s v="MAY"/>
        <s v="JUN"/>
        <s v="JUL"/>
        <s v="AUG"/>
        <s v="SEP"/>
        <s v="OCT"/>
        <s v="NOV"/>
        <s v="DEC"/>
      </sharedItems>
    </cacheField>
    <cacheField name="Department" numFmtId="164">
      <sharedItems/>
    </cacheField>
    <cacheField name="Product Category" numFmtId="0">
      <sharedItems/>
    </cacheField>
    <cacheField name="Units Sold" numFmtId="0">
      <sharedItems containsSemiMixedTypes="0" containsString="0" containsNumber="1" containsInteger="1" minValue="20" maxValue="60"/>
    </cacheField>
    <cacheField name="Revenue" numFmtId="0">
      <sharedItems containsSemiMixedTypes="0" containsString="0" containsNumber="1" containsInteger="1" minValue="21440" maxValue="111240"/>
    </cacheField>
    <cacheField name="Target" numFmtId="0">
      <sharedItems containsSemiMixedTypes="0" containsString="0" containsNumber="1" containsInteger="1" minValue="14109" maxValue="110263"/>
    </cacheField>
    <cacheField name="Region" numFmtId="0">
      <sharedItems count="5">
        <s v="South"/>
        <s v="East"/>
        <s v="North"/>
        <s v="Central"/>
        <s v="West"/>
      </sharedItems>
    </cacheField>
    <cacheField name="Bench Marks" numFmtId="0">
      <sharedItems containsSemiMixedTypes="0" containsString="0" containsNumber="1" containsInteger="1" minValue="45000" maxValue="68500"/>
    </cacheField>
    <cacheField name="Bonus" numFmtId="0">
      <sharedItems containsSemiMixedTypes="0" containsString="0" containsNumber="1" minValue="0" maxValue="5562"/>
    </cacheField>
    <cacheField name="Target achieved" numFmtId="0">
      <sharedItems/>
    </cacheField>
    <cacheField name="Month 2" numFmtId="0">
      <sharedItems count="12">
        <s v="February"/>
        <s v="October"/>
        <s v="May"/>
        <s v="November"/>
        <s v="August"/>
        <s v="April"/>
        <s v="July"/>
        <s v="December"/>
        <s v="June"/>
        <s v="January"/>
        <s v="March"/>
        <s v="September"/>
      </sharedItems>
    </cacheField>
    <cacheField name="Field1" numFmtId="0" formula="IF(Revenue&gt;=Target,Revenue*5%,0)" databaseField="0"/>
    <cacheField name="Quarters (Sale Date)" numFmtId="0" databaseField="0">
      <fieldGroup base="1">
        <rangePr groupBy="quarters" startDate="2023-01-07T00:00:00" endDate="2023-12-30T00:00:00"/>
        <groupItems count="6">
          <s v="&lt;07-01-2023"/>
          <s v="Qtr1"/>
          <s v="Qtr2"/>
          <s v="Qtr3"/>
          <s v="Qtr4"/>
          <s v="&gt;30-1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770265"/>
    <x v="0"/>
    <x v="0"/>
    <x v="0"/>
    <x v="0"/>
    <x v="0"/>
    <x v="0"/>
    <n v="21"/>
    <x v="0"/>
    <n v="37433"/>
    <x v="0"/>
  </r>
  <r>
    <n v="562322"/>
    <x v="1"/>
    <x v="1"/>
    <x v="1"/>
    <x v="0"/>
    <x v="1"/>
    <x v="0"/>
    <n v="26"/>
    <x v="1"/>
    <n v="36857"/>
    <x v="1"/>
  </r>
  <r>
    <n v="897935"/>
    <x v="2"/>
    <x v="2"/>
    <x v="2"/>
    <x v="0"/>
    <x v="0"/>
    <x v="0"/>
    <n v="22"/>
    <x v="2"/>
    <n v="26125"/>
    <x v="2"/>
  </r>
  <r>
    <n v="531908"/>
    <x v="3"/>
    <x v="3"/>
    <x v="3"/>
    <x v="0"/>
    <x v="1"/>
    <x v="1"/>
    <n v="55"/>
    <x v="3"/>
    <n v="59434"/>
    <x v="2"/>
  </r>
  <r>
    <n v="208664"/>
    <x v="4"/>
    <x v="2"/>
    <x v="2"/>
    <x v="0"/>
    <x v="0"/>
    <x v="0"/>
    <n v="34"/>
    <x v="4"/>
    <n v="44952"/>
    <x v="2"/>
  </r>
  <r>
    <n v="690563"/>
    <x v="5"/>
    <x v="1"/>
    <x v="1"/>
    <x v="0"/>
    <x v="1"/>
    <x v="0"/>
    <n v="47"/>
    <x v="5"/>
    <n v="63804"/>
    <x v="1"/>
  </r>
  <r>
    <n v="484790"/>
    <x v="6"/>
    <x v="4"/>
    <x v="4"/>
    <x v="0"/>
    <x v="1"/>
    <x v="2"/>
    <n v="26"/>
    <x v="6"/>
    <n v="27220"/>
    <x v="0"/>
  </r>
  <r>
    <n v="424434"/>
    <x v="7"/>
    <x v="4"/>
    <x v="4"/>
    <x v="0"/>
    <x v="1"/>
    <x v="1"/>
    <n v="58"/>
    <x v="7"/>
    <n v="65437"/>
    <x v="0"/>
  </r>
  <r>
    <n v="190886"/>
    <x v="8"/>
    <x v="5"/>
    <x v="5"/>
    <x v="1"/>
    <x v="1"/>
    <x v="1"/>
    <n v="54"/>
    <x v="8"/>
    <n v="59657"/>
    <x v="1"/>
  </r>
  <r>
    <n v="655665"/>
    <x v="9"/>
    <x v="6"/>
    <x v="6"/>
    <x v="1"/>
    <x v="1"/>
    <x v="1"/>
    <n v="60"/>
    <x v="9"/>
    <n v="88473"/>
    <x v="3"/>
  </r>
  <r>
    <n v="624861"/>
    <x v="10"/>
    <x v="7"/>
    <x v="7"/>
    <x v="1"/>
    <x v="2"/>
    <x v="2"/>
    <n v="24"/>
    <x v="10"/>
    <n v="19270"/>
    <x v="4"/>
  </r>
  <r>
    <n v="279643"/>
    <x v="11"/>
    <x v="0"/>
    <x v="0"/>
    <x v="1"/>
    <x v="0"/>
    <x v="2"/>
    <n v="34"/>
    <x v="11"/>
    <n v="67504"/>
    <x v="0"/>
  </r>
  <r>
    <n v="915044"/>
    <x v="12"/>
    <x v="5"/>
    <x v="5"/>
    <x v="1"/>
    <x v="1"/>
    <x v="2"/>
    <n v="60"/>
    <x v="12"/>
    <n v="110263"/>
    <x v="1"/>
  </r>
  <r>
    <n v="480683"/>
    <x v="13"/>
    <x v="4"/>
    <x v="4"/>
    <x v="1"/>
    <x v="1"/>
    <x v="1"/>
    <n v="33"/>
    <x v="13"/>
    <n v="56264"/>
    <x v="0"/>
  </r>
  <r>
    <n v="527151"/>
    <x v="14"/>
    <x v="0"/>
    <x v="0"/>
    <x v="1"/>
    <x v="0"/>
    <x v="1"/>
    <n v="58"/>
    <x v="14"/>
    <n v="97897"/>
    <x v="0"/>
  </r>
  <r>
    <n v="914427"/>
    <x v="15"/>
    <x v="7"/>
    <x v="7"/>
    <x v="1"/>
    <x v="2"/>
    <x v="1"/>
    <n v="30"/>
    <x v="15"/>
    <n v="42974"/>
    <x v="4"/>
  </r>
  <r>
    <n v="457546"/>
    <x v="16"/>
    <x v="7"/>
    <x v="7"/>
    <x v="1"/>
    <x v="2"/>
    <x v="0"/>
    <n v="40"/>
    <x v="16"/>
    <n v="66932"/>
    <x v="4"/>
  </r>
  <r>
    <n v="674613"/>
    <x v="17"/>
    <x v="3"/>
    <x v="3"/>
    <x v="2"/>
    <x v="1"/>
    <x v="0"/>
    <n v="40"/>
    <x v="17"/>
    <n v="57014"/>
    <x v="2"/>
  </r>
  <r>
    <n v="376752"/>
    <x v="18"/>
    <x v="4"/>
    <x v="4"/>
    <x v="2"/>
    <x v="1"/>
    <x v="1"/>
    <n v="33"/>
    <x v="18"/>
    <n v="51964"/>
    <x v="0"/>
  </r>
  <r>
    <n v="476554"/>
    <x v="19"/>
    <x v="5"/>
    <x v="5"/>
    <x v="2"/>
    <x v="1"/>
    <x v="1"/>
    <n v="29"/>
    <x v="19"/>
    <n v="39572"/>
    <x v="1"/>
  </r>
  <r>
    <n v="664779"/>
    <x v="20"/>
    <x v="6"/>
    <x v="6"/>
    <x v="2"/>
    <x v="1"/>
    <x v="2"/>
    <n v="57"/>
    <x v="20"/>
    <n v="72257"/>
    <x v="3"/>
  </r>
  <r>
    <n v="311452"/>
    <x v="14"/>
    <x v="4"/>
    <x v="4"/>
    <x v="2"/>
    <x v="1"/>
    <x v="0"/>
    <n v="34"/>
    <x v="21"/>
    <n v="35446"/>
    <x v="0"/>
  </r>
  <r>
    <n v="448445"/>
    <x v="21"/>
    <x v="3"/>
    <x v="3"/>
    <x v="2"/>
    <x v="1"/>
    <x v="1"/>
    <n v="27"/>
    <x v="22"/>
    <n v="25932"/>
    <x v="2"/>
  </r>
  <r>
    <n v="384298"/>
    <x v="22"/>
    <x v="2"/>
    <x v="2"/>
    <x v="3"/>
    <x v="0"/>
    <x v="1"/>
    <n v="58"/>
    <x v="23"/>
    <n v="60466"/>
    <x v="2"/>
  </r>
  <r>
    <n v="168453"/>
    <x v="23"/>
    <x v="5"/>
    <x v="5"/>
    <x v="3"/>
    <x v="1"/>
    <x v="1"/>
    <n v="53"/>
    <x v="24"/>
    <n v="62557"/>
    <x v="1"/>
  </r>
  <r>
    <n v="985975"/>
    <x v="24"/>
    <x v="0"/>
    <x v="0"/>
    <x v="3"/>
    <x v="0"/>
    <x v="2"/>
    <n v="54"/>
    <x v="25"/>
    <n v="96101"/>
    <x v="0"/>
  </r>
  <r>
    <n v="177349"/>
    <x v="25"/>
    <x v="0"/>
    <x v="0"/>
    <x v="3"/>
    <x v="0"/>
    <x v="0"/>
    <n v="38"/>
    <x v="26"/>
    <n v="57319"/>
    <x v="0"/>
  </r>
  <r>
    <n v="717424"/>
    <x v="26"/>
    <x v="6"/>
    <x v="6"/>
    <x v="3"/>
    <x v="1"/>
    <x v="0"/>
    <n v="52"/>
    <x v="27"/>
    <n v="94633"/>
    <x v="3"/>
  </r>
  <r>
    <n v="627211"/>
    <x v="27"/>
    <x v="6"/>
    <x v="6"/>
    <x v="3"/>
    <x v="1"/>
    <x v="0"/>
    <n v="60"/>
    <x v="28"/>
    <n v="86163"/>
    <x v="3"/>
  </r>
  <r>
    <n v="253564"/>
    <x v="28"/>
    <x v="4"/>
    <x v="4"/>
    <x v="3"/>
    <x v="1"/>
    <x v="0"/>
    <n v="30"/>
    <x v="29"/>
    <n v="38803"/>
    <x v="0"/>
  </r>
  <r>
    <n v="949565"/>
    <x v="29"/>
    <x v="4"/>
    <x v="4"/>
    <x v="3"/>
    <x v="1"/>
    <x v="2"/>
    <n v="51"/>
    <x v="30"/>
    <n v="55137"/>
    <x v="0"/>
  </r>
  <r>
    <n v="756995"/>
    <x v="30"/>
    <x v="7"/>
    <x v="7"/>
    <x v="3"/>
    <x v="2"/>
    <x v="0"/>
    <n v="23"/>
    <x v="31"/>
    <n v="19273"/>
    <x v="4"/>
  </r>
  <r>
    <n v="808505"/>
    <x v="31"/>
    <x v="0"/>
    <x v="0"/>
    <x v="3"/>
    <x v="0"/>
    <x v="0"/>
    <n v="51"/>
    <x v="32"/>
    <n v="97452"/>
    <x v="0"/>
  </r>
  <r>
    <n v="870287"/>
    <x v="32"/>
    <x v="1"/>
    <x v="1"/>
    <x v="4"/>
    <x v="1"/>
    <x v="2"/>
    <n v="50"/>
    <x v="33"/>
    <n v="94443"/>
    <x v="1"/>
  </r>
  <r>
    <n v="646329"/>
    <x v="33"/>
    <x v="2"/>
    <x v="2"/>
    <x v="4"/>
    <x v="0"/>
    <x v="1"/>
    <n v="33"/>
    <x v="34"/>
    <n v="60548"/>
    <x v="2"/>
  </r>
  <r>
    <n v="236087"/>
    <x v="34"/>
    <x v="7"/>
    <x v="7"/>
    <x v="4"/>
    <x v="2"/>
    <x v="2"/>
    <n v="39"/>
    <x v="35"/>
    <n v="48908"/>
    <x v="4"/>
  </r>
  <r>
    <n v="396076"/>
    <x v="35"/>
    <x v="5"/>
    <x v="5"/>
    <x v="4"/>
    <x v="1"/>
    <x v="0"/>
    <n v="53"/>
    <x v="36"/>
    <n v="80504"/>
    <x v="1"/>
  </r>
  <r>
    <n v="669417"/>
    <x v="36"/>
    <x v="0"/>
    <x v="0"/>
    <x v="4"/>
    <x v="0"/>
    <x v="0"/>
    <n v="41"/>
    <x v="37"/>
    <n v="37223"/>
    <x v="0"/>
  </r>
  <r>
    <n v="624149"/>
    <x v="37"/>
    <x v="7"/>
    <x v="7"/>
    <x v="4"/>
    <x v="2"/>
    <x v="0"/>
    <n v="20"/>
    <x v="38"/>
    <n v="14843"/>
    <x v="4"/>
  </r>
  <r>
    <n v="804827"/>
    <x v="38"/>
    <x v="7"/>
    <x v="7"/>
    <x v="4"/>
    <x v="2"/>
    <x v="0"/>
    <n v="24"/>
    <x v="39"/>
    <n v="50734"/>
    <x v="4"/>
  </r>
  <r>
    <n v="428406"/>
    <x v="39"/>
    <x v="7"/>
    <x v="7"/>
    <x v="4"/>
    <x v="2"/>
    <x v="1"/>
    <n v="37"/>
    <x v="40"/>
    <n v="59392"/>
    <x v="4"/>
  </r>
  <r>
    <n v="429678"/>
    <x v="40"/>
    <x v="1"/>
    <x v="1"/>
    <x v="4"/>
    <x v="1"/>
    <x v="2"/>
    <n v="56"/>
    <x v="41"/>
    <n v="86296"/>
    <x v="1"/>
  </r>
  <r>
    <n v="491866"/>
    <x v="41"/>
    <x v="2"/>
    <x v="2"/>
    <x v="5"/>
    <x v="0"/>
    <x v="2"/>
    <n v="32"/>
    <x v="42"/>
    <n v="38484"/>
    <x v="2"/>
  </r>
  <r>
    <n v="911594"/>
    <x v="42"/>
    <x v="4"/>
    <x v="4"/>
    <x v="5"/>
    <x v="1"/>
    <x v="0"/>
    <n v="47"/>
    <x v="43"/>
    <n v="64089"/>
    <x v="0"/>
  </r>
  <r>
    <n v="148280"/>
    <x v="43"/>
    <x v="0"/>
    <x v="0"/>
    <x v="5"/>
    <x v="0"/>
    <x v="0"/>
    <n v="23"/>
    <x v="44"/>
    <n v="25545"/>
    <x v="0"/>
  </r>
  <r>
    <n v="141868"/>
    <x v="44"/>
    <x v="7"/>
    <x v="7"/>
    <x v="5"/>
    <x v="2"/>
    <x v="0"/>
    <n v="32"/>
    <x v="45"/>
    <n v="34422"/>
    <x v="4"/>
  </r>
  <r>
    <n v="961598"/>
    <x v="45"/>
    <x v="2"/>
    <x v="2"/>
    <x v="5"/>
    <x v="0"/>
    <x v="0"/>
    <n v="31"/>
    <x v="46"/>
    <n v="37256"/>
    <x v="2"/>
  </r>
  <r>
    <n v="404058"/>
    <x v="46"/>
    <x v="5"/>
    <x v="5"/>
    <x v="5"/>
    <x v="1"/>
    <x v="1"/>
    <n v="55"/>
    <x v="47"/>
    <n v="64672"/>
    <x v="1"/>
  </r>
  <r>
    <n v="526748"/>
    <x v="47"/>
    <x v="3"/>
    <x v="3"/>
    <x v="5"/>
    <x v="1"/>
    <x v="0"/>
    <n v="25"/>
    <x v="48"/>
    <n v="41354"/>
    <x v="2"/>
  </r>
  <r>
    <n v="440859"/>
    <x v="19"/>
    <x v="2"/>
    <x v="2"/>
    <x v="5"/>
    <x v="0"/>
    <x v="0"/>
    <n v="51"/>
    <x v="49"/>
    <n v="77590"/>
    <x v="2"/>
  </r>
  <r>
    <n v="703768"/>
    <x v="48"/>
    <x v="1"/>
    <x v="1"/>
    <x v="5"/>
    <x v="1"/>
    <x v="2"/>
    <n v="44"/>
    <x v="50"/>
    <n v="42692"/>
    <x v="1"/>
  </r>
  <r>
    <n v="715404"/>
    <x v="8"/>
    <x v="6"/>
    <x v="6"/>
    <x v="6"/>
    <x v="1"/>
    <x v="1"/>
    <n v="47"/>
    <x v="51"/>
    <n v="73543"/>
    <x v="3"/>
  </r>
  <r>
    <n v="321701"/>
    <x v="49"/>
    <x v="5"/>
    <x v="5"/>
    <x v="6"/>
    <x v="1"/>
    <x v="0"/>
    <n v="29"/>
    <x v="52"/>
    <n v="34765"/>
    <x v="1"/>
  </r>
  <r>
    <n v="638856"/>
    <x v="3"/>
    <x v="3"/>
    <x v="3"/>
    <x v="6"/>
    <x v="1"/>
    <x v="2"/>
    <n v="40"/>
    <x v="53"/>
    <n v="46499"/>
    <x v="2"/>
  </r>
  <r>
    <n v="443925"/>
    <x v="50"/>
    <x v="1"/>
    <x v="1"/>
    <x v="6"/>
    <x v="1"/>
    <x v="0"/>
    <n v="23"/>
    <x v="54"/>
    <n v="42289"/>
    <x v="1"/>
  </r>
  <r>
    <n v="122220"/>
    <x v="51"/>
    <x v="0"/>
    <x v="0"/>
    <x v="6"/>
    <x v="0"/>
    <x v="2"/>
    <n v="58"/>
    <x v="55"/>
    <n v="55940"/>
    <x v="0"/>
  </r>
  <r>
    <n v="701178"/>
    <x v="52"/>
    <x v="0"/>
    <x v="0"/>
    <x v="6"/>
    <x v="0"/>
    <x v="0"/>
    <n v="56"/>
    <x v="56"/>
    <n v="65627"/>
    <x v="0"/>
  </r>
  <r>
    <n v="626979"/>
    <x v="53"/>
    <x v="0"/>
    <x v="0"/>
    <x v="6"/>
    <x v="0"/>
    <x v="1"/>
    <n v="46"/>
    <x v="57"/>
    <n v="72396"/>
    <x v="0"/>
  </r>
  <r>
    <n v="879135"/>
    <x v="1"/>
    <x v="4"/>
    <x v="4"/>
    <x v="6"/>
    <x v="1"/>
    <x v="2"/>
    <n v="36"/>
    <x v="58"/>
    <n v="37552"/>
    <x v="0"/>
  </r>
  <r>
    <n v="853549"/>
    <x v="54"/>
    <x v="7"/>
    <x v="7"/>
    <x v="6"/>
    <x v="2"/>
    <x v="1"/>
    <n v="36"/>
    <x v="59"/>
    <n v="53436"/>
    <x v="4"/>
  </r>
  <r>
    <n v="622476"/>
    <x v="55"/>
    <x v="6"/>
    <x v="6"/>
    <x v="6"/>
    <x v="1"/>
    <x v="0"/>
    <n v="49"/>
    <x v="60"/>
    <n v="57509"/>
    <x v="3"/>
  </r>
  <r>
    <n v="558080"/>
    <x v="56"/>
    <x v="5"/>
    <x v="5"/>
    <x v="6"/>
    <x v="1"/>
    <x v="1"/>
    <n v="59"/>
    <x v="61"/>
    <n v="96346"/>
    <x v="1"/>
  </r>
  <r>
    <n v="705811"/>
    <x v="37"/>
    <x v="7"/>
    <x v="7"/>
    <x v="6"/>
    <x v="2"/>
    <x v="0"/>
    <n v="52"/>
    <x v="62"/>
    <n v="68922"/>
    <x v="4"/>
  </r>
  <r>
    <n v="614942"/>
    <x v="50"/>
    <x v="7"/>
    <x v="7"/>
    <x v="7"/>
    <x v="2"/>
    <x v="1"/>
    <n v="43"/>
    <x v="63"/>
    <n v="57929"/>
    <x v="4"/>
  </r>
  <r>
    <n v="411338"/>
    <x v="57"/>
    <x v="6"/>
    <x v="6"/>
    <x v="7"/>
    <x v="1"/>
    <x v="0"/>
    <n v="59"/>
    <x v="64"/>
    <n v="102020"/>
    <x v="3"/>
  </r>
  <r>
    <n v="773919"/>
    <x v="58"/>
    <x v="6"/>
    <x v="6"/>
    <x v="7"/>
    <x v="1"/>
    <x v="2"/>
    <n v="26"/>
    <x v="65"/>
    <n v="41599"/>
    <x v="3"/>
  </r>
  <r>
    <n v="972584"/>
    <x v="41"/>
    <x v="0"/>
    <x v="0"/>
    <x v="7"/>
    <x v="0"/>
    <x v="2"/>
    <n v="26"/>
    <x v="66"/>
    <n v="41696"/>
    <x v="0"/>
  </r>
  <r>
    <n v="375513"/>
    <x v="59"/>
    <x v="6"/>
    <x v="6"/>
    <x v="7"/>
    <x v="1"/>
    <x v="0"/>
    <n v="58"/>
    <x v="67"/>
    <n v="63713"/>
    <x v="3"/>
  </r>
  <r>
    <n v="171074"/>
    <x v="25"/>
    <x v="6"/>
    <x v="6"/>
    <x v="7"/>
    <x v="1"/>
    <x v="0"/>
    <n v="52"/>
    <x v="68"/>
    <n v="78886"/>
    <x v="3"/>
  </r>
  <r>
    <n v="658474"/>
    <x v="41"/>
    <x v="2"/>
    <x v="2"/>
    <x v="7"/>
    <x v="0"/>
    <x v="0"/>
    <n v="37"/>
    <x v="69"/>
    <n v="43607"/>
    <x v="2"/>
  </r>
  <r>
    <n v="136884"/>
    <x v="60"/>
    <x v="6"/>
    <x v="6"/>
    <x v="7"/>
    <x v="1"/>
    <x v="1"/>
    <n v="30"/>
    <x v="70"/>
    <n v="50531"/>
    <x v="3"/>
  </r>
  <r>
    <n v="347309"/>
    <x v="61"/>
    <x v="2"/>
    <x v="2"/>
    <x v="7"/>
    <x v="0"/>
    <x v="1"/>
    <n v="55"/>
    <x v="71"/>
    <n v="58663"/>
    <x v="2"/>
  </r>
  <r>
    <n v="861040"/>
    <x v="62"/>
    <x v="1"/>
    <x v="1"/>
    <x v="7"/>
    <x v="1"/>
    <x v="1"/>
    <n v="54"/>
    <x v="72"/>
    <n v="47270"/>
    <x v="1"/>
  </r>
  <r>
    <n v="757259"/>
    <x v="63"/>
    <x v="1"/>
    <x v="1"/>
    <x v="7"/>
    <x v="1"/>
    <x v="2"/>
    <n v="47"/>
    <x v="73"/>
    <n v="57425"/>
    <x v="1"/>
  </r>
  <r>
    <n v="616139"/>
    <x v="64"/>
    <x v="3"/>
    <x v="3"/>
    <x v="8"/>
    <x v="1"/>
    <x v="1"/>
    <n v="42"/>
    <x v="74"/>
    <n v="44856"/>
    <x v="2"/>
  </r>
  <r>
    <n v="310196"/>
    <x v="21"/>
    <x v="0"/>
    <x v="0"/>
    <x v="8"/>
    <x v="0"/>
    <x v="1"/>
    <n v="42"/>
    <x v="75"/>
    <n v="71343"/>
    <x v="0"/>
  </r>
  <r>
    <n v="855931"/>
    <x v="65"/>
    <x v="1"/>
    <x v="1"/>
    <x v="8"/>
    <x v="1"/>
    <x v="2"/>
    <n v="35"/>
    <x v="76"/>
    <n v="68313"/>
    <x v="1"/>
  </r>
  <r>
    <n v="659392"/>
    <x v="6"/>
    <x v="3"/>
    <x v="3"/>
    <x v="8"/>
    <x v="1"/>
    <x v="1"/>
    <n v="31"/>
    <x v="77"/>
    <n v="53932"/>
    <x v="2"/>
  </r>
  <r>
    <n v="509306"/>
    <x v="66"/>
    <x v="7"/>
    <x v="7"/>
    <x v="8"/>
    <x v="2"/>
    <x v="0"/>
    <n v="37"/>
    <x v="78"/>
    <n v="35131"/>
    <x v="4"/>
  </r>
  <r>
    <n v="818214"/>
    <x v="67"/>
    <x v="2"/>
    <x v="2"/>
    <x v="9"/>
    <x v="0"/>
    <x v="0"/>
    <n v="22"/>
    <x v="79"/>
    <n v="38627"/>
    <x v="2"/>
  </r>
  <r>
    <n v="667432"/>
    <x v="29"/>
    <x v="5"/>
    <x v="5"/>
    <x v="9"/>
    <x v="1"/>
    <x v="0"/>
    <n v="42"/>
    <x v="80"/>
    <n v="46661"/>
    <x v="1"/>
  </r>
  <r>
    <n v="572637"/>
    <x v="68"/>
    <x v="3"/>
    <x v="3"/>
    <x v="9"/>
    <x v="1"/>
    <x v="0"/>
    <n v="32"/>
    <x v="81"/>
    <n v="44678"/>
    <x v="2"/>
  </r>
  <r>
    <n v="889905"/>
    <x v="32"/>
    <x v="6"/>
    <x v="6"/>
    <x v="9"/>
    <x v="1"/>
    <x v="1"/>
    <n v="42"/>
    <x v="82"/>
    <n v="66206"/>
    <x v="3"/>
  </r>
  <r>
    <n v="556516"/>
    <x v="60"/>
    <x v="4"/>
    <x v="4"/>
    <x v="9"/>
    <x v="1"/>
    <x v="0"/>
    <n v="21"/>
    <x v="83"/>
    <n v="14109"/>
    <x v="0"/>
  </r>
  <r>
    <n v="296032"/>
    <x v="69"/>
    <x v="6"/>
    <x v="6"/>
    <x v="9"/>
    <x v="1"/>
    <x v="2"/>
    <n v="22"/>
    <x v="84"/>
    <n v="19668"/>
    <x v="3"/>
  </r>
  <r>
    <n v="222196"/>
    <x v="55"/>
    <x v="4"/>
    <x v="4"/>
    <x v="10"/>
    <x v="1"/>
    <x v="2"/>
    <n v="47"/>
    <x v="85"/>
    <n v="72761"/>
    <x v="0"/>
  </r>
  <r>
    <n v="297033"/>
    <x v="52"/>
    <x v="7"/>
    <x v="7"/>
    <x v="10"/>
    <x v="2"/>
    <x v="0"/>
    <n v="36"/>
    <x v="86"/>
    <n v="31008"/>
    <x v="4"/>
  </r>
  <r>
    <n v="719040"/>
    <x v="70"/>
    <x v="7"/>
    <x v="7"/>
    <x v="10"/>
    <x v="2"/>
    <x v="2"/>
    <n v="43"/>
    <x v="87"/>
    <n v="65817"/>
    <x v="4"/>
  </r>
  <r>
    <n v="819436"/>
    <x v="62"/>
    <x v="4"/>
    <x v="4"/>
    <x v="10"/>
    <x v="1"/>
    <x v="1"/>
    <n v="27"/>
    <x v="88"/>
    <n v="37153"/>
    <x v="0"/>
  </r>
  <r>
    <n v="972881"/>
    <x v="71"/>
    <x v="6"/>
    <x v="6"/>
    <x v="10"/>
    <x v="1"/>
    <x v="2"/>
    <n v="46"/>
    <x v="89"/>
    <n v="59772"/>
    <x v="3"/>
  </r>
  <r>
    <n v="783928"/>
    <x v="72"/>
    <x v="1"/>
    <x v="1"/>
    <x v="11"/>
    <x v="1"/>
    <x v="1"/>
    <n v="32"/>
    <x v="66"/>
    <n v="39866"/>
    <x v="1"/>
  </r>
  <r>
    <n v="951955"/>
    <x v="73"/>
    <x v="1"/>
    <x v="1"/>
    <x v="11"/>
    <x v="1"/>
    <x v="1"/>
    <n v="59"/>
    <x v="90"/>
    <n v="93408"/>
    <x v="1"/>
  </r>
  <r>
    <n v="500635"/>
    <x v="74"/>
    <x v="3"/>
    <x v="3"/>
    <x v="11"/>
    <x v="1"/>
    <x v="1"/>
    <n v="39"/>
    <x v="91"/>
    <n v="51984"/>
    <x v="2"/>
  </r>
  <r>
    <n v="120112"/>
    <x v="75"/>
    <x v="4"/>
    <x v="4"/>
    <x v="11"/>
    <x v="1"/>
    <x v="0"/>
    <n v="49"/>
    <x v="92"/>
    <n v="68904"/>
    <x v="0"/>
  </r>
  <r>
    <n v="746721"/>
    <x v="76"/>
    <x v="5"/>
    <x v="5"/>
    <x v="11"/>
    <x v="1"/>
    <x v="1"/>
    <n v="30"/>
    <x v="93"/>
    <n v="53831"/>
    <x v="1"/>
  </r>
  <r>
    <n v="149864"/>
    <x v="77"/>
    <x v="4"/>
    <x v="4"/>
    <x v="11"/>
    <x v="1"/>
    <x v="1"/>
    <n v="25"/>
    <x v="94"/>
    <n v="38644"/>
    <x v="0"/>
  </r>
  <r>
    <n v="913305"/>
    <x v="78"/>
    <x v="6"/>
    <x v="6"/>
    <x v="11"/>
    <x v="1"/>
    <x v="0"/>
    <n v="34"/>
    <x v="95"/>
    <n v="63788"/>
    <x v="3"/>
  </r>
  <r>
    <n v="349637"/>
    <x v="62"/>
    <x v="3"/>
    <x v="3"/>
    <x v="11"/>
    <x v="1"/>
    <x v="2"/>
    <n v="35"/>
    <x v="96"/>
    <n v="46995"/>
    <x v="2"/>
  </r>
  <r>
    <n v="112584"/>
    <x v="79"/>
    <x v="2"/>
    <x v="2"/>
    <x v="11"/>
    <x v="0"/>
    <x v="1"/>
    <n v="60"/>
    <x v="97"/>
    <n v="97155"/>
    <x v="2"/>
  </r>
  <r>
    <n v="525728"/>
    <x v="74"/>
    <x v="2"/>
    <x v="2"/>
    <x v="11"/>
    <x v="0"/>
    <x v="1"/>
    <n v="51"/>
    <x v="98"/>
    <n v="7286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770265"/>
    <x v="0"/>
    <x v="0"/>
    <x v="0"/>
    <x v="0"/>
    <x v="0"/>
    <x v="0"/>
    <n v="21"/>
    <n v="36939"/>
    <n v="37433"/>
    <s v="South"/>
    <n v="60000"/>
    <n v="0"/>
  </r>
  <r>
    <n v="562322"/>
    <x v="1"/>
    <x v="1"/>
    <x v="1"/>
    <x v="0"/>
    <x v="1"/>
    <x v="0"/>
    <n v="26"/>
    <n v="43992"/>
    <n v="36857"/>
    <s v="East"/>
    <n v="50000"/>
    <n v="2199.6"/>
  </r>
  <r>
    <n v="897935"/>
    <x v="2"/>
    <x v="2"/>
    <x v="2"/>
    <x v="0"/>
    <x v="0"/>
    <x v="0"/>
    <n v="22"/>
    <n v="22660"/>
    <n v="26125"/>
    <s v="North"/>
    <n v="68500"/>
    <n v="0"/>
  </r>
  <r>
    <n v="531908"/>
    <x v="3"/>
    <x v="3"/>
    <x v="3"/>
    <x v="0"/>
    <x v="1"/>
    <x v="1"/>
    <n v="55"/>
    <n v="66165"/>
    <n v="59434"/>
    <s v="North"/>
    <n v="68500"/>
    <n v="3308.25"/>
  </r>
  <r>
    <n v="208664"/>
    <x v="4"/>
    <x v="2"/>
    <x v="2"/>
    <x v="0"/>
    <x v="0"/>
    <x v="0"/>
    <n v="34"/>
    <n v="49606"/>
    <n v="44952"/>
    <s v="North"/>
    <n v="68500"/>
    <n v="2480.3000000000002"/>
  </r>
  <r>
    <n v="690563"/>
    <x v="5"/>
    <x v="1"/>
    <x v="1"/>
    <x v="0"/>
    <x v="1"/>
    <x v="0"/>
    <n v="47"/>
    <n v="63356"/>
    <n v="63804"/>
    <s v="East"/>
    <n v="50000"/>
    <n v="0"/>
  </r>
  <r>
    <n v="484790"/>
    <x v="6"/>
    <x v="4"/>
    <x v="4"/>
    <x v="0"/>
    <x v="1"/>
    <x v="2"/>
    <n v="26"/>
    <n v="28444"/>
    <n v="27220"/>
    <s v="South"/>
    <n v="60000"/>
    <n v="1422.2"/>
  </r>
  <r>
    <n v="424434"/>
    <x v="7"/>
    <x v="4"/>
    <x v="4"/>
    <x v="0"/>
    <x v="1"/>
    <x v="1"/>
    <n v="58"/>
    <n v="73660"/>
    <n v="65437"/>
    <s v="South"/>
    <n v="60000"/>
    <n v="3683"/>
  </r>
  <r>
    <n v="190886"/>
    <x v="8"/>
    <x v="5"/>
    <x v="5"/>
    <x v="1"/>
    <x v="1"/>
    <x v="1"/>
    <n v="54"/>
    <n v="60858"/>
    <n v="59657"/>
    <s v="East"/>
    <n v="50000"/>
    <n v="3042.9"/>
  </r>
  <r>
    <n v="655665"/>
    <x v="9"/>
    <x v="6"/>
    <x v="6"/>
    <x v="1"/>
    <x v="1"/>
    <x v="1"/>
    <n v="60"/>
    <n v="97980"/>
    <n v="88473"/>
    <s v="Central"/>
    <n v="45000"/>
    <n v="4899"/>
  </r>
  <r>
    <n v="624861"/>
    <x v="10"/>
    <x v="7"/>
    <x v="7"/>
    <x v="1"/>
    <x v="2"/>
    <x v="2"/>
    <n v="24"/>
    <n v="25104"/>
    <n v="19270"/>
    <s v="West"/>
    <n v="55000"/>
    <n v="1255.2"/>
  </r>
  <r>
    <n v="279643"/>
    <x v="11"/>
    <x v="0"/>
    <x v="0"/>
    <x v="1"/>
    <x v="0"/>
    <x v="2"/>
    <n v="34"/>
    <n v="64158"/>
    <n v="67504"/>
    <s v="South"/>
    <n v="60000"/>
    <n v="0"/>
  </r>
  <r>
    <n v="915044"/>
    <x v="12"/>
    <x v="5"/>
    <x v="5"/>
    <x v="1"/>
    <x v="1"/>
    <x v="2"/>
    <n v="60"/>
    <n v="111240"/>
    <n v="110263"/>
    <s v="East"/>
    <n v="50000"/>
    <n v="5562"/>
  </r>
  <r>
    <n v="480683"/>
    <x v="13"/>
    <x v="4"/>
    <x v="4"/>
    <x v="1"/>
    <x v="1"/>
    <x v="1"/>
    <n v="33"/>
    <n v="55638"/>
    <n v="56264"/>
    <s v="South"/>
    <n v="60000"/>
    <n v="0"/>
  </r>
  <r>
    <n v="527151"/>
    <x v="14"/>
    <x v="0"/>
    <x v="0"/>
    <x v="1"/>
    <x v="0"/>
    <x v="1"/>
    <n v="58"/>
    <n v="95700"/>
    <n v="97897"/>
    <s v="South"/>
    <n v="60000"/>
    <n v="0"/>
  </r>
  <r>
    <n v="914427"/>
    <x v="15"/>
    <x v="7"/>
    <x v="7"/>
    <x v="1"/>
    <x v="2"/>
    <x v="1"/>
    <n v="30"/>
    <n v="44190"/>
    <n v="42974"/>
    <s v="West"/>
    <n v="55000"/>
    <n v="2209.5"/>
  </r>
  <r>
    <n v="457546"/>
    <x v="16"/>
    <x v="7"/>
    <x v="7"/>
    <x v="1"/>
    <x v="2"/>
    <x v="0"/>
    <n v="40"/>
    <n v="74520"/>
    <n v="66932"/>
    <s v="West"/>
    <n v="55000"/>
    <n v="3726"/>
  </r>
  <r>
    <n v="674613"/>
    <x v="17"/>
    <x v="3"/>
    <x v="3"/>
    <x v="2"/>
    <x v="1"/>
    <x v="0"/>
    <n v="40"/>
    <n v="56400"/>
    <n v="57014"/>
    <s v="North"/>
    <n v="68500"/>
    <n v="0"/>
  </r>
  <r>
    <n v="376752"/>
    <x v="18"/>
    <x v="4"/>
    <x v="4"/>
    <x v="2"/>
    <x v="1"/>
    <x v="1"/>
    <n v="33"/>
    <n v="55143"/>
    <n v="51964"/>
    <s v="South"/>
    <n v="60000"/>
    <n v="2757.15"/>
  </r>
  <r>
    <n v="476554"/>
    <x v="19"/>
    <x v="5"/>
    <x v="5"/>
    <x v="2"/>
    <x v="1"/>
    <x v="1"/>
    <n v="29"/>
    <n v="36859"/>
    <n v="39572"/>
    <s v="East"/>
    <n v="50000"/>
    <n v="0"/>
  </r>
  <r>
    <n v="664779"/>
    <x v="20"/>
    <x v="6"/>
    <x v="6"/>
    <x v="2"/>
    <x v="1"/>
    <x v="2"/>
    <n v="57"/>
    <n v="81966"/>
    <n v="72257"/>
    <s v="Central"/>
    <n v="45000"/>
    <n v="4098.3"/>
  </r>
  <r>
    <n v="311452"/>
    <x v="14"/>
    <x v="4"/>
    <x v="4"/>
    <x v="2"/>
    <x v="1"/>
    <x v="0"/>
    <n v="34"/>
    <n v="38794"/>
    <n v="35446"/>
    <s v="South"/>
    <n v="60000"/>
    <n v="1939.7"/>
  </r>
  <r>
    <n v="448445"/>
    <x v="21"/>
    <x v="3"/>
    <x v="3"/>
    <x v="2"/>
    <x v="1"/>
    <x v="1"/>
    <n v="27"/>
    <n v="31212"/>
    <n v="25932"/>
    <s v="North"/>
    <n v="68500"/>
    <n v="1560.6000000000001"/>
  </r>
  <r>
    <n v="384298"/>
    <x v="22"/>
    <x v="2"/>
    <x v="2"/>
    <x v="3"/>
    <x v="0"/>
    <x v="1"/>
    <n v="58"/>
    <n v="61770"/>
    <n v="60466"/>
    <s v="North"/>
    <n v="68500"/>
    <n v="3088.5"/>
  </r>
  <r>
    <n v="168453"/>
    <x v="23"/>
    <x v="5"/>
    <x v="5"/>
    <x v="3"/>
    <x v="1"/>
    <x v="1"/>
    <n v="53"/>
    <n v="66621"/>
    <n v="62557"/>
    <s v="East"/>
    <n v="50000"/>
    <n v="3331.05"/>
  </r>
  <r>
    <n v="985975"/>
    <x v="24"/>
    <x v="0"/>
    <x v="0"/>
    <x v="3"/>
    <x v="0"/>
    <x v="2"/>
    <n v="54"/>
    <n v="95472"/>
    <n v="96101"/>
    <s v="South"/>
    <n v="60000"/>
    <n v="0"/>
  </r>
  <r>
    <n v="177349"/>
    <x v="25"/>
    <x v="0"/>
    <x v="0"/>
    <x v="3"/>
    <x v="0"/>
    <x v="0"/>
    <n v="38"/>
    <n v="54910"/>
    <n v="57319"/>
    <s v="South"/>
    <n v="60000"/>
    <n v="0"/>
  </r>
  <r>
    <n v="717424"/>
    <x v="26"/>
    <x v="6"/>
    <x v="6"/>
    <x v="3"/>
    <x v="1"/>
    <x v="0"/>
    <n v="52"/>
    <n v="92560"/>
    <n v="94633"/>
    <s v="Central"/>
    <n v="45000"/>
    <n v="0"/>
  </r>
  <r>
    <n v="627211"/>
    <x v="27"/>
    <x v="6"/>
    <x v="6"/>
    <x v="3"/>
    <x v="1"/>
    <x v="0"/>
    <n v="60"/>
    <n v="91140"/>
    <n v="86163"/>
    <s v="Central"/>
    <n v="45000"/>
    <n v="4557"/>
  </r>
  <r>
    <n v="253564"/>
    <x v="28"/>
    <x v="4"/>
    <x v="4"/>
    <x v="3"/>
    <x v="1"/>
    <x v="0"/>
    <n v="30"/>
    <n v="46560"/>
    <n v="38803"/>
    <s v="South"/>
    <n v="60000"/>
    <n v="2328"/>
  </r>
  <r>
    <n v="949565"/>
    <x v="29"/>
    <x v="4"/>
    <x v="4"/>
    <x v="3"/>
    <x v="1"/>
    <x v="2"/>
    <n v="51"/>
    <n v="51969"/>
    <n v="55137"/>
    <s v="South"/>
    <n v="60000"/>
    <n v="0"/>
  </r>
  <r>
    <n v="756995"/>
    <x v="30"/>
    <x v="7"/>
    <x v="7"/>
    <x v="3"/>
    <x v="2"/>
    <x v="0"/>
    <n v="23"/>
    <n v="28658"/>
    <n v="19273"/>
    <s v="West"/>
    <n v="55000"/>
    <n v="1432.9"/>
  </r>
  <r>
    <n v="808505"/>
    <x v="31"/>
    <x v="0"/>
    <x v="0"/>
    <x v="3"/>
    <x v="0"/>
    <x v="0"/>
    <n v="51"/>
    <n v="93585"/>
    <n v="97452"/>
    <s v="South"/>
    <n v="60000"/>
    <n v="0"/>
  </r>
  <r>
    <n v="870287"/>
    <x v="32"/>
    <x v="1"/>
    <x v="1"/>
    <x v="4"/>
    <x v="1"/>
    <x v="2"/>
    <n v="50"/>
    <n v="98450"/>
    <n v="94443"/>
    <s v="East"/>
    <n v="50000"/>
    <n v="4922.5"/>
  </r>
  <r>
    <n v="646329"/>
    <x v="33"/>
    <x v="2"/>
    <x v="2"/>
    <x v="4"/>
    <x v="0"/>
    <x v="1"/>
    <n v="33"/>
    <n v="64383"/>
    <n v="60548"/>
    <s v="North"/>
    <n v="68500"/>
    <n v="3219.15"/>
  </r>
  <r>
    <n v="236087"/>
    <x v="34"/>
    <x v="7"/>
    <x v="7"/>
    <x v="4"/>
    <x v="2"/>
    <x v="2"/>
    <n v="39"/>
    <n v="54912"/>
    <n v="48908"/>
    <s v="West"/>
    <n v="55000"/>
    <n v="2745.6000000000004"/>
  </r>
  <r>
    <n v="396076"/>
    <x v="35"/>
    <x v="5"/>
    <x v="5"/>
    <x v="4"/>
    <x v="1"/>
    <x v="0"/>
    <n v="53"/>
    <n v="77486"/>
    <n v="80504"/>
    <s v="East"/>
    <n v="50000"/>
    <n v="0"/>
  </r>
  <r>
    <n v="669417"/>
    <x v="36"/>
    <x v="0"/>
    <x v="0"/>
    <x v="4"/>
    <x v="0"/>
    <x v="0"/>
    <n v="41"/>
    <n v="41861"/>
    <n v="37223"/>
    <s v="South"/>
    <n v="60000"/>
    <n v="2093.0500000000002"/>
  </r>
  <r>
    <n v="624149"/>
    <x v="37"/>
    <x v="7"/>
    <x v="7"/>
    <x v="4"/>
    <x v="2"/>
    <x v="0"/>
    <n v="20"/>
    <n v="21440"/>
    <n v="14843"/>
    <s v="West"/>
    <n v="55000"/>
    <n v="1072"/>
  </r>
  <r>
    <n v="804827"/>
    <x v="38"/>
    <x v="7"/>
    <x v="7"/>
    <x v="4"/>
    <x v="2"/>
    <x v="0"/>
    <n v="24"/>
    <n v="46248"/>
    <n v="50734"/>
    <s v="West"/>
    <n v="55000"/>
    <n v="0"/>
  </r>
  <r>
    <n v="428406"/>
    <x v="39"/>
    <x v="7"/>
    <x v="7"/>
    <x v="4"/>
    <x v="2"/>
    <x v="1"/>
    <n v="37"/>
    <n v="62345"/>
    <n v="59392"/>
    <s v="West"/>
    <n v="55000"/>
    <n v="3117.25"/>
  </r>
  <r>
    <n v="429678"/>
    <x v="40"/>
    <x v="1"/>
    <x v="1"/>
    <x v="4"/>
    <x v="1"/>
    <x v="2"/>
    <n v="56"/>
    <n v="89040"/>
    <n v="86296"/>
    <s v="East"/>
    <n v="50000"/>
    <n v="4452"/>
  </r>
  <r>
    <n v="491866"/>
    <x v="41"/>
    <x v="2"/>
    <x v="2"/>
    <x v="5"/>
    <x v="0"/>
    <x v="2"/>
    <n v="32"/>
    <n v="35072"/>
    <n v="38484"/>
    <s v="North"/>
    <n v="68500"/>
    <n v="0"/>
  </r>
  <r>
    <n v="911594"/>
    <x v="42"/>
    <x v="4"/>
    <x v="4"/>
    <x v="5"/>
    <x v="1"/>
    <x v="0"/>
    <n v="47"/>
    <n v="66740"/>
    <n v="64089"/>
    <s v="South"/>
    <n v="60000"/>
    <n v="3337"/>
  </r>
  <r>
    <n v="148280"/>
    <x v="43"/>
    <x v="0"/>
    <x v="0"/>
    <x v="5"/>
    <x v="0"/>
    <x v="0"/>
    <n v="23"/>
    <n v="32476"/>
    <n v="25545"/>
    <s v="South"/>
    <n v="60000"/>
    <n v="1623.8000000000002"/>
  </r>
  <r>
    <n v="141868"/>
    <x v="44"/>
    <x v="7"/>
    <x v="7"/>
    <x v="5"/>
    <x v="2"/>
    <x v="0"/>
    <n v="32"/>
    <n v="38208"/>
    <n v="34422"/>
    <s v="West"/>
    <n v="55000"/>
    <n v="1910.4"/>
  </r>
  <r>
    <n v="961598"/>
    <x v="45"/>
    <x v="2"/>
    <x v="2"/>
    <x v="5"/>
    <x v="0"/>
    <x v="0"/>
    <n v="31"/>
    <n v="39835"/>
    <n v="37256"/>
    <s v="North"/>
    <n v="68500"/>
    <n v="1991.75"/>
  </r>
  <r>
    <n v="404058"/>
    <x v="46"/>
    <x v="5"/>
    <x v="5"/>
    <x v="5"/>
    <x v="1"/>
    <x v="1"/>
    <n v="55"/>
    <n v="60500"/>
    <n v="64672"/>
    <s v="East"/>
    <n v="50000"/>
    <n v="0"/>
  </r>
  <r>
    <n v="526748"/>
    <x v="47"/>
    <x v="3"/>
    <x v="3"/>
    <x v="5"/>
    <x v="1"/>
    <x v="0"/>
    <n v="25"/>
    <n v="48700"/>
    <n v="41354"/>
    <s v="North"/>
    <n v="68500"/>
    <n v="2435"/>
  </r>
  <r>
    <n v="440859"/>
    <x v="19"/>
    <x v="2"/>
    <x v="2"/>
    <x v="5"/>
    <x v="0"/>
    <x v="0"/>
    <n v="51"/>
    <n v="76092"/>
    <n v="77590"/>
    <s v="North"/>
    <n v="68500"/>
    <n v="0"/>
  </r>
  <r>
    <n v="703768"/>
    <x v="48"/>
    <x v="1"/>
    <x v="1"/>
    <x v="5"/>
    <x v="1"/>
    <x v="2"/>
    <n v="44"/>
    <n v="44088"/>
    <n v="42692"/>
    <s v="East"/>
    <n v="50000"/>
    <n v="2204.4"/>
  </r>
  <r>
    <n v="715404"/>
    <x v="8"/>
    <x v="6"/>
    <x v="6"/>
    <x v="6"/>
    <x v="1"/>
    <x v="1"/>
    <n v="47"/>
    <n v="80511"/>
    <n v="73543"/>
    <s v="Central"/>
    <n v="45000"/>
    <n v="4025.55"/>
  </r>
  <r>
    <n v="321701"/>
    <x v="49"/>
    <x v="5"/>
    <x v="5"/>
    <x v="6"/>
    <x v="1"/>
    <x v="0"/>
    <n v="29"/>
    <n v="34626"/>
    <n v="34765"/>
    <s v="East"/>
    <n v="50000"/>
    <n v="0"/>
  </r>
  <r>
    <n v="638856"/>
    <x v="3"/>
    <x v="3"/>
    <x v="3"/>
    <x v="6"/>
    <x v="1"/>
    <x v="2"/>
    <n v="40"/>
    <n v="42320"/>
    <n v="46499"/>
    <s v="North"/>
    <n v="68500"/>
    <n v="0"/>
  </r>
  <r>
    <n v="443925"/>
    <x v="50"/>
    <x v="1"/>
    <x v="1"/>
    <x v="6"/>
    <x v="1"/>
    <x v="0"/>
    <n v="23"/>
    <n v="45609"/>
    <n v="42289"/>
    <s v="East"/>
    <n v="50000"/>
    <n v="2280.4500000000003"/>
  </r>
  <r>
    <n v="122220"/>
    <x v="51"/>
    <x v="0"/>
    <x v="0"/>
    <x v="6"/>
    <x v="0"/>
    <x v="2"/>
    <n v="58"/>
    <n v="62002"/>
    <n v="55940"/>
    <s v="South"/>
    <n v="60000"/>
    <n v="3100.1000000000004"/>
  </r>
  <r>
    <n v="701178"/>
    <x v="52"/>
    <x v="0"/>
    <x v="0"/>
    <x v="6"/>
    <x v="0"/>
    <x v="0"/>
    <n v="56"/>
    <n v="70112"/>
    <n v="65627"/>
    <s v="South"/>
    <n v="60000"/>
    <n v="3505.6000000000004"/>
  </r>
  <r>
    <n v="626979"/>
    <x v="53"/>
    <x v="0"/>
    <x v="0"/>
    <x v="6"/>
    <x v="0"/>
    <x v="1"/>
    <n v="46"/>
    <n v="76958"/>
    <n v="72396"/>
    <s v="South"/>
    <n v="60000"/>
    <n v="3847.9"/>
  </r>
  <r>
    <n v="879135"/>
    <x v="1"/>
    <x v="4"/>
    <x v="4"/>
    <x v="6"/>
    <x v="1"/>
    <x v="2"/>
    <n v="36"/>
    <n v="43524"/>
    <n v="37552"/>
    <s v="South"/>
    <n v="60000"/>
    <n v="2176.2000000000003"/>
  </r>
  <r>
    <n v="853549"/>
    <x v="54"/>
    <x v="7"/>
    <x v="7"/>
    <x v="6"/>
    <x v="2"/>
    <x v="1"/>
    <n v="36"/>
    <n v="50580"/>
    <n v="53436"/>
    <s v="West"/>
    <n v="55000"/>
    <n v="0"/>
  </r>
  <r>
    <n v="622476"/>
    <x v="55"/>
    <x v="6"/>
    <x v="6"/>
    <x v="6"/>
    <x v="1"/>
    <x v="0"/>
    <n v="49"/>
    <n v="64827"/>
    <n v="57509"/>
    <s v="Central"/>
    <n v="45000"/>
    <n v="3241.3500000000004"/>
  </r>
  <r>
    <n v="558080"/>
    <x v="56"/>
    <x v="5"/>
    <x v="5"/>
    <x v="6"/>
    <x v="1"/>
    <x v="1"/>
    <n v="59"/>
    <n v="92984"/>
    <n v="96346"/>
    <s v="East"/>
    <n v="50000"/>
    <n v="0"/>
  </r>
  <r>
    <n v="705811"/>
    <x v="37"/>
    <x v="7"/>
    <x v="7"/>
    <x v="6"/>
    <x v="2"/>
    <x v="0"/>
    <n v="52"/>
    <n v="66092"/>
    <n v="68922"/>
    <s v="West"/>
    <n v="55000"/>
    <n v="0"/>
  </r>
  <r>
    <n v="614942"/>
    <x v="50"/>
    <x v="7"/>
    <x v="7"/>
    <x v="7"/>
    <x v="2"/>
    <x v="1"/>
    <n v="43"/>
    <n v="55513"/>
    <n v="57929"/>
    <s v="West"/>
    <n v="55000"/>
    <n v="0"/>
  </r>
  <r>
    <n v="411338"/>
    <x v="57"/>
    <x v="6"/>
    <x v="6"/>
    <x v="7"/>
    <x v="1"/>
    <x v="0"/>
    <n v="59"/>
    <n v="107734"/>
    <n v="102020"/>
    <s v="Central"/>
    <n v="45000"/>
    <n v="5386.7000000000007"/>
  </r>
  <r>
    <n v="773919"/>
    <x v="58"/>
    <x v="6"/>
    <x v="6"/>
    <x v="7"/>
    <x v="1"/>
    <x v="2"/>
    <n v="26"/>
    <n v="50986"/>
    <n v="41599"/>
    <s v="Central"/>
    <n v="45000"/>
    <n v="2549.3000000000002"/>
  </r>
  <r>
    <n v="972584"/>
    <x v="41"/>
    <x v="0"/>
    <x v="0"/>
    <x v="7"/>
    <x v="0"/>
    <x v="2"/>
    <n v="26"/>
    <n v="45760"/>
    <n v="41696"/>
    <s v="South"/>
    <n v="60000"/>
    <n v="2288"/>
  </r>
  <r>
    <n v="375513"/>
    <x v="59"/>
    <x v="6"/>
    <x v="6"/>
    <x v="7"/>
    <x v="1"/>
    <x v="0"/>
    <n v="58"/>
    <n v="70470"/>
    <n v="63713"/>
    <s v="Central"/>
    <n v="45000"/>
    <n v="3523.5"/>
  </r>
  <r>
    <n v="171074"/>
    <x v="25"/>
    <x v="6"/>
    <x v="6"/>
    <x v="7"/>
    <x v="1"/>
    <x v="0"/>
    <n v="52"/>
    <n v="78000"/>
    <n v="78886"/>
    <s v="Central"/>
    <n v="45000"/>
    <n v="0"/>
  </r>
  <r>
    <n v="658474"/>
    <x v="41"/>
    <x v="2"/>
    <x v="2"/>
    <x v="7"/>
    <x v="0"/>
    <x v="0"/>
    <n v="37"/>
    <n v="38665"/>
    <n v="43607"/>
    <s v="North"/>
    <n v="68500"/>
    <n v="0"/>
  </r>
  <r>
    <n v="136884"/>
    <x v="60"/>
    <x v="6"/>
    <x v="6"/>
    <x v="7"/>
    <x v="1"/>
    <x v="1"/>
    <n v="30"/>
    <n v="52770"/>
    <n v="50531"/>
    <s v="Central"/>
    <n v="45000"/>
    <n v="2638.5"/>
  </r>
  <r>
    <n v="347309"/>
    <x v="61"/>
    <x v="2"/>
    <x v="2"/>
    <x v="7"/>
    <x v="0"/>
    <x v="1"/>
    <n v="55"/>
    <n v="55495"/>
    <n v="58663"/>
    <s v="North"/>
    <n v="68500"/>
    <n v="0"/>
  </r>
  <r>
    <n v="861040"/>
    <x v="62"/>
    <x v="1"/>
    <x v="1"/>
    <x v="7"/>
    <x v="1"/>
    <x v="1"/>
    <n v="54"/>
    <n v="55944"/>
    <n v="47270"/>
    <s v="East"/>
    <n v="50000"/>
    <n v="2797.2000000000003"/>
  </r>
  <r>
    <n v="757259"/>
    <x v="63"/>
    <x v="1"/>
    <x v="1"/>
    <x v="7"/>
    <x v="1"/>
    <x v="2"/>
    <n v="47"/>
    <n v="53110"/>
    <n v="57425"/>
    <s v="East"/>
    <n v="50000"/>
    <n v="0"/>
  </r>
  <r>
    <n v="616139"/>
    <x v="64"/>
    <x v="3"/>
    <x v="3"/>
    <x v="8"/>
    <x v="1"/>
    <x v="1"/>
    <n v="42"/>
    <n v="51030"/>
    <n v="44856"/>
    <s v="North"/>
    <n v="68500"/>
    <n v="2551.5"/>
  </r>
  <r>
    <n v="310196"/>
    <x v="21"/>
    <x v="0"/>
    <x v="0"/>
    <x v="8"/>
    <x v="0"/>
    <x v="1"/>
    <n v="42"/>
    <n v="75516"/>
    <n v="71343"/>
    <s v="South"/>
    <n v="60000"/>
    <n v="3775.8"/>
  </r>
  <r>
    <n v="855931"/>
    <x v="65"/>
    <x v="1"/>
    <x v="1"/>
    <x v="8"/>
    <x v="1"/>
    <x v="2"/>
    <n v="35"/>
    <n v="65975"/>
    <n v="68313"/>
    <s v="East"/>
    <n v="50000"/>
    <n v="0"/>
  </r>
  <r>
    <n v="659392"/>
    <x v="6"/>
    <x v="3"/>
    <x v="3"/>
    <x v="8"/>
    <x v="1"/>
    <x v="1"/>
    <n v="31"/>
    <n v="54374"/>
    <n v="53932"/>
    <s v="North"/>
    <n v="68500"/>
    <n v="2718.7000000000003"/>
  </r>
  <r>
    <n v="509306"/>
    <x v="66"/>
    <x v="7"/>
    <x v="7"/>
    <x v="8"/>
    <x v="2"/>
    <x v="0"/>
    <n v="37"/>
    <n v="43031"/>
    <n v="35131"/>
    <s v="West"/>
    <n v="55000"/>
    <n v="2151.5500000000002"/>
  </r>
  <r>
    <n v="818214"/>
    <x v="67"/>
    <x v="2"/>
    <x v="2"/>
    <x v="9"/>
    <x v="0"/>
    <x v="0"/>
    <n v="22"/>
    <n v="41338"/>
    <n v="38627"/>
    <s v="North"/>
    <n v="68500"/>
    <n v="2066.9"/>
  </r>
  <r>
    <n v="667432"/>
    <x v="29"/>
    <x v="5"/>
    <x v="5"/>
    <x v="9"/>
    <x v="1"/>
    <x v="0"/>
    <n v="42"/>
    <n v="55104"/>
    <n v="46661"/>
    <s v="East"/>
    <n v="50000"/>
    <n v="2755.2000000000003"/>
  </r>
  <r>
    <n v="572637"/>
    <x v="68"/>
    <x v="3"/>
    <x v="3"/>
    <x v="9"/>
    <x v="1"/>
    <x v="0"/>
    <n v="32"/>
    <n v="45056"/>
    <n v="44678"/>
    <s v="North"/>
    <n v="68500"/>
    <n v="2252.8000000000002"/>
  </r>
  <r>
    <n v="889905"/>
    <x v="32"/>
    <x v="6"/>
    <x v="6"/>
    <x v="9"/>
    <x v="1"/>
    <x v="1"/>
    <n v="42"/>
    <n v="69552"/>
    <n v="66206"/>
    <s v="Central"/>
    <n v="45000"/>
    <n v="3477.6000000000004"/>
  </r>
  <r>
    <n v="556516"/>
    <x v="60"/>
    <x v="4"/>
    <x v="4"/>
    <x v="9"/>
    <x v="1"/>
    <x v="0"/>
    <n v="21"/>
    <n v="23478"/>
    <n v="14109"/>
    <s v="South"/>
    <n v="60000"/>
    <n v="1173.9000000000001"/>
  </r>
  <r>
    <n v="296032"/>
    <x v="69"/>
    <x v="6"/>
    <x v="6"/>
    <x v="9"/>
    <x v="1"/>
    <x v="2"/>
    <n v="22"/>
    <n v="24442"/>
    <n v="19668"/>
    <s v="Central"/>
    <n v="45000"/>
    <n v="1222.1000000000001"/>
  </r>
  <r>
    <n v="222196"/>
    <x v="55"/>
    <x v="4"/>
    <x v="4"/>
    <x v="10"/>
    <x v="1"/>
    <x v="2"/>
    <n v="47"/>
    <n v="76140"/>
    <n v="72761"/>
    <s v="South"/>
    <n v="60000"/>
    <n v="3807"/>
  </r>
  <r>
    <n v="297033"/>
    <x v="52"/>
    <x v="7"/>
    <x v="7"/>
    <x v="10"/>
    <x v="2"/>
    <x v="0"/>
    <n v="36"/>
    <n v="37620"/>
    <n v="31008"/>
    <s v="West"/>
    <n v="55000"/>
    <n v="1881"/>
  </r>
  <r>
    <n v="719040"/>
    <x v="70"/>
    <x v="7"/>
    <x v="7"/>
    <x v="10"/>
    <x v="2"/>
    <x v="2"/>
    <n v="43"/>
    <n v="61963"/>
    <n v="65817"/>
    <s v="West"/>
    <n v="55000"/>
    <n v="0"/>
  </r>
  <r>
    <n v="819436"/>
    <x v="62"/>
    <x v="4"/>
    <x v="4"/>
    <x v="10"/>
    <x v="1"/>
    <x v="1"/>
    <n v="27"/>
    <n v="46899"/>
    <n v="37153"/>
    <s v="South"/>
    <n v="60000"/>
    <n v="2344.9500000000003"/>
  </r>
  <r>
    <n v="972881"/>
    <x v="71"/>
    <x v="6"/>
    <x v="6"/>
    <x v="10"/>
    <x v="1"/>
    <x v="2"/>
    <n v="46"/>
    <n v="61364"/>
    <n v="59772"/>
    <s v="Central"/>
    <n v="45000"/>
    <n v="3068.2000000000003"/>
  </r>
  <r>
    <n v="783928"/>
    <x v="72"/>
    <x v="1"/>
    <x v="1"/>
    <x v="11"/>
    <x v="1"/>
    <x v="1"/>
    <n v="32"/>
    <n v="45760"/>
    <n v="39866"/>
    <s v="East"/>
    <n v="50000"/>
    <n v="2288"/>
  </r>
  <r>
    <n v="951955"/>
    <x v="73"/>
    <x v="1"/>
    <x v="1"/>
    <x v="11"/>
    <x v="1"/>
    <x v="1"/>
    <n v="59"/>
    <n v="93338"/>
    <n v="93408"/>
    <s v="East"/>
    <n v="50000"/>
    <n v="0"/>
  </r>
  <r>
    <n v="500635"/>
    <x v="74"/>
    <x v="3"/>
    <x v="3"/>
    <x v="11"/>
    <x v="1"/>
    <x v="1"/>
    <n v="39"/>
    <n v="50427"/>
    <n v="51984"/>
    <s v="North"/>
    <n v="68500"/>
    <n v="0"/>
  </r>
  <r>
    <n v="120112"/>
    <x v="75"/>
    <x v="4"/>
    <x v="4"/>
    <x v="11"/>
    <x v="1"/>
    <x v="0"/>
    <n v="49"/>
    <n v="71148"/>
    <n v="68904"/>
    <s v="South"/>
    <n v="60000"/>
    <n v="3557.4"/>
  </r>
  <r>
    <n v="746721"/>
    <x v="76"/>
    <x v="5"/>
    <x v="5"/>
    <x v="11"/>
    <x v="1"/>
    <x v="1"/>
    <n v="30"/>
    <n v="50220"/>
    <n v="53831"/>
    <s v="East"/>
    <n v="50000"/>
    <n v="0"/>
  </r>
  <r>
    <n v="149864"/>
    <x v="77"/>
    <x v="4"/>
    <x v="4"/>
    <x v="11"/>
    <x v="1"/>
    <x v="1"/>
    <n v="25"/>
    <n v="45950"/>
    <n v="38644"/>
    <s v="South"/>
    <n v="60000"/>
    <n v="2297.5"/>
  </r>
  <r>
    <n v="913305"/>
    <x v="78"/>
    <x v="6"/>
    <x v="6"/>
    <x v="11"/>
    <x v="1"/>
    <x v="0"/>
    <n v="34"/>
    <n v="62050"/>
    <n v="63788"/>
    <s v="Central"/>
    <n v="45000"/>
    <n v="0"/>
  </r>
  <r>
    <n v="349637"/>
    <x v="62"/>
    <x v="3"/>
    <x v="3"/>
    <x v="11"/>
    <x v="1"/>
    <x v="2"/>
    <n v="35"/>
    <n v="52010"/>
    <n v="46995"/>
    <s v="North"/>
    <n v="68500"/>
    <n v="2600.5"/>
  </r>
  <r>
    <n v="112584"/>
    <x v="79"/>
    <x v="2"/>
    <x v="2"/>
    <x v="11"/>
    <x v="0"/>
    <x v="1"/>
    <n v="60"/>
    <n v="95340"/>
    <n v="97155"/>
    <s v="North"/>
    <n v="68500"/>
    <n v="0"/>
  </r>
  <r>
    <n v="525728"/>
    <x v="74"/>
    <x v="2"/>
    <x v="2"/>
    <x v="11"/>
    <x v="0"/>
    <x v="1"/>
    <n v="51"/>
    <n v="71859"/>
    <n v="72862"/>
    <s v="North"/>
    <n v="6850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770265"/>
    <x v="0"/>
    <x v="0"/>
    <x v="0"/>
    <x v="0"/>
    <s v="Marketing"/>
    <s v="Electronics"/>
    <n v="21"/>
    <n v="36939"/>
    <x v="0"/>
    <x v="0"/>
    <n v="60000"/>
    <n v="0"/>
    <x v="0"/>
  </r>
  <r>
    <n v="562322"/>
    <x v="1"/>
    <x v="1"/>
    <x v="1"/>
    <x v="0"/>
    <s v="Sales"/>
    <s v="Electronics"/>
    <n v="26"/>
    <n v="43992"/>
    <x v="1"/>
    <x v="1"/>
    <n v="50000"/>
    <n v="2199.6"/>
    <x v="1"/>
  </r>
  <r>
    <n v="897935"/>
    <x v="2"/>
    <x v="2"/>
    <x v="2"/>
    <x v="0"/>
    <s v="Marketing"/>
    <s v="Electronics"/>
    <n v="22"/>
    <n v="22660"/>
    <x v="2"/>
    <x v="2"/>
    <n v="68500"/>
    <n v="0"/>
    <x v="0"/>
  </r>
  <r>
    <n v="531908"/>
    <x v="3"/>
    <x v="3"/>
    <x v="3"/>
    <x v="0"/>
    <s v="Sales"/>
    <s v="Stationery"/>
    <n v="55"/>
    <n v="66165"/>
    <x v="3"/>
    <x v="2"/>
    <n v="68500"/>
    <n v="3308.25"/>
    <x v="1"/>
  </r>
  <r>
    <n v="208664"/>
    <x v="4"/>
    <x v="2"/>
    <x v="2"/>
    <x v="0"/>
    <s v="Marketing"/>
    <s v="Electronics"/>
    <n v="34"/>
    <n v="49606"/>
    <x v="4"/>
    <x v="2"/>
    <n v="68500"/>
    <n v="2480.3000000000002"/>
    <x v="1"/>
  </r>
  <r>
    <n v="690563"/>
    <x v="5"/>
    <x v="1"/>
    <x v="1"/>
    <x v="0"/>
    <s v="Sales"/>
    <s v="Electronics"/>
    <n v="47"/>
    <n v="63356"/>
    <x v="5"/>
    <x v="1"/>
    <n v="50000"/>
    <n v="0"/>
    <x v="0"/>
  </r>
  <r>
    <n v="484790"/>
    <x v="6"/>
    <x v="4"/>
    <x v="4"/>
    <x v="0"/>
    <s v="Sales"/>
    <s v="Furniture"/>
    <n v="26"/>
    <n v="28444"/>
    <x v="6"/>
    <x v="0"/>
    <n v="60000"/>
    <n v="1422.2"/>
    <x v="1"/>
  </r>
  <r>
    <n v="424434"/>
    <x v="7"/>
    <x v="4"/>
    <x v="4"/>
    <x v="0"/>
    <s v="Sales"/>
    <s v="Stationery"/>
    <n v="58"/>
    <n v="73660"/>
    <x v="7"/>
    <x v="0"/>
    <n v="60000"/>
    <n v="3683"/>
    <x v="1"/>
  </r>
  <r>
    <n v="190886"/>
    <x v="8"/>
    <x v="5"/>
    <x v="5"/>
    <x v="1"/>
    <s v="Sales"/>
    <s v="Stationery"/>
    <n v="54"/>
    <n v="60858"/>
    <x v="8"/>
    <x v="1"/>
    <n v="50000"/>
    <n v="3042.9"/>
    <x v="1"/>
  </r>
  <r>
    <n v="655665"/>
    <x v="9"/>
    <x v="6"/>
    <x v="6"/>
    <x v="1"/>
    <s v="Sales"/>
    <s v="Stationery"/>
    <n v="60"/>
    <n v="97980"/>
    <x v="9"/>
    <x v="3"/>
    <n v="45000"/>
    <n v="4899"/>
    <x v="1"/>
  </r>
  <r>
    <n v="624861"/>
    <x v="10"/>
    <x v="7"/>
    <x v="7"/>
    <x v="1"/>
    <s v="Operations"/>
    <s v="Furniture"/>
    <n v="24"/>
    <n v="25104"/>
    <x v="10"/>
    <x v="4"/>
    <n v="55000"/>
    <n v="1255.2"/>
    <x v="1"/>
  </r>
  <r>
    <n v="279643"/>
    <x v="11"/>
    <x v="0"/>
    <x v="0"/>
    <x v="1"/>
    <s v="Marketing"/>
    <s v="Furniture"/>
    <n v="34"/>
    <n v="64158"/>
    <x v="11"/>
    <x v="0"/>
    <n v="60000"/>
    <n v="0"/>
    <x v="0"/>
  </r>
  <r>
    <n v="915044"/>
    <x v="12"/>
    <x v="5"/>
    <x v="5"/>
    <x v="1"/>
    <s v="Sales"/>
    <s v="Furniture"/>
    <n v="60"/>
    <n v="111240"/>
    <x v="12"/>
    <x v="1"/>
    <n v="50000"/>
    <n v="5562"/>
    <x v="1"/>
  </r>
  <r>
    <n v="480683"/>
    <x v="13"/>
    <x v="4"/>
    <x v="4"/>
    <x v="1"/>
    <s v="Sales"/>
    <s v="Stationery"/>
    <n v="33"/>
    <n v="55638"/>
    <x v="13"/>
    <x v="0"/>
    <n v="60000"/>
    <n v="0"/>
    <x v="0"/>
  </r>
  <r>
    <n v="527151"/>
    <x v="14"/>
    <x v="0"/>
    <x v="0"/>
    <x v="1"/>
    <s v="Marketing"/>
    <s v="Stationery"/>
    <n v="58"/>
    <n v="95700"/>
    <x v="14"/>
    <x v="0"/>
    <n v="60000"/>
    <n v="0"/>
    <x v="0"/>
  </r>
  <r>
    <n v="914427"/>
    <x v="15"/>
    <x v="7"/>
    <x v="7"/>
    <x v="1"/>
    <s v="Operations"/>
    <s v="Stationery"/>
    <n v="30"/>
    <n v="44190"/>
    <x v="15"/>
    <x v="4"/>
    <n v="55000"/>
    <n v="2209.5"/>
    <x v="1"/>
  </r>
  <r>
    <n v="457546"/>
    <x v="16"/>
    <x v="7"/>
    <x v="7"/>
    <x v="1"/>
    <s v="Operations"/>
    <s v="Electronics"/>
    <n v="40"/>
    <n v="74520"/>
    <x v="16"/>
    <x v="4"/>
    <n v="55000"/>
    <n v="3726"/>
    <x v="1"/>
  </r>
  <r>
    <n v="674613"/>
    <x v="17"/>
    <x v="3"/>
    <x v="3"/>
    <x v="2"/>
    <s v="Sales"/>
    <s v="Electronics"/>
    <n v="40"/>
    <n v="56400"/>
    <x v="17"/>
    <x v="2"/>
    <n v="68500"/>
    <n v="0"/>
    <x v="0"/>
  </r>
  <r>
    <n v="376752"/>
    <x v="18"/>
    <x v="4"/>
    <x v="4"/>
    <x v="2"/>
    <s v="Sales"/>
    <s v="Stationery"/>
    <n v="33"/>
    <n v="55143"/>
    <x v="18"/>
    <x v="0"/>
    <n v="60000"/>
    <n v="2757.15"/>
    <x v="1"/>
  </r>
  <r>
    <n v="476554"/>
    <x v="19"/>
    <x v="5"/>
    <x v="5"/>
    <x v="2"/>
    <s v="Sales"/>
    <s v="Stationery"/>
    <n v="29"/>
    <n v="36859"/>
    <x v="19"/>
    <x v="1"/>
    <n v="50000"/>
    <n v="0"/>
    <x v="0"/>
  </r>
  <r>
    <n v="664779"/>
    <x v="20"/>
    <x v="6"/>
    <x v="6"/>
    <x v="2"/>
    <s v="Sales"/>
    <s v="Furniture"/>
    <n v="57"/>
    <n v="81966"/>
    <x v="20"/>
    <x v="3"/>
    <n v="45000"/>
    <n v="4098.3"/>
    <x v="1"/>
  </r>
  <r>
    <n v="311452"/>
    <x v="14"/>
    <x v="4"/>
    <x v="4"/>
    <x v="2"/>
    <s v="Sales"/>
    <s v="Electronics"/>
    <n v="34"/>
    <n v="38794"/>
    <x v="21"/>
    <x v="0"/>
    <n v="60000"/>
    <n v="1939.7"/>
    <x v="1"/>
  </r>
  <r>
    <n v="448445"/>
    <x v="21"/>
    <x v="3"/>
    <x v="3"/>
    <x v="2"/>
    <s v="Sales"/>
    <s v="Stationery"/>
    <n v="27"/>
    <n v="31212"/>
    <x v="22"/>
    <x v="2"/>
    <n v="68500"/>
    <n v="1560.6000000000001"/>
    <x v="1"/>
  </r>
  <r>
    <n v="384298"/>
    <x v="22"/>
    <x v="2"/>
    <x v="2"/>
    <x v="3"/>
    <s v="Marketing"/>
    <s v="Stationery"/>
    <n v="58"/>
    <n v="61770"/>
    <x v="23"/>
    <x v="2"/>
    <n v="68500"/>
    <n v="3088.5"/>
    <x v="1"/>
  </r>
  <r>
    <n v="168453"/>
    <x v="23"/>
    <x v="5"/>
    <x v="5"/>
    <x v="3"/>
    <s v="Sales"/>
    <s v="Stationery"/>
    <n v="53"/>
    <n v="66621"/>
    <x v="24"/>
    <x v="1"/>
    <n v="50000"/>
    <n v="3331.05"/>
    <x v="1"/>
  </r>
  <r>
    <n v="985975"/>
    <x v="24"/>
    <x v="0"/>
    <x v="0"/>
    <x v="3"/>
    <s v="Marketing"/>
    <s v="Furniture"/>
    <n v="54"/>
    <n v="95472"/>
    <x v="25"/>
    <x v="0"/>
    <n v="60000"/>
    <n v="0"/>
    <x v="0"/>
  </r>
  <r>
    <n v="177349"/>
    <x v="25"/>
    <x v="0"/>
    <x v="0"/>
    <x v="3"/>
    <s v="Marketing"/>
    <s v="Electronics"/>
    <n v="38"/>
    <n v="54910"/>
    <x v="26"/>
    <x v="0"/>
    <n v="60000"/>
    <n v="0"/>
    <x v="0"/>
  </r>
  <r>
    <n v="717424"/>
    <x v="26"/>
    <x v="6"/>
    <x v="6"/>
    <x v="3"/>
    <s v="Sales"/>
    <s v="Electronics"/>
    <n v="52"/>
    <n v="92560"/>
    <x v="27"/>
    <x v="3"/>
    <n v="45000"/>
    <n v="0"/>
    <x v="0"/>
  </r>
  <r>
    <n v="627211"/>
    <x v="27"/>
    <x v="6"/>
    <x v="6"/>
    <x v="3"/>
    <s v="Sales"/>
    <s v="Electronics"/>
    <n v="60"/>
    <n v="91140"/>
    <x v="28"/>
    <x v="3"/>
    <n v="45000"/>
    <n v="4557"/>
    <x v="1"/>
  </r>
  <r>
    <n v="253564"/>
    <x v="28"/>
    <x v="4"/>
    <x v="4"/>
    <x v="3"/>
    <s v="Sales"/>
    <s v="Electronics"/>
    <n v="30"/>
    <n v="46560"/>
    <x v="29"/>
    <x v="0"/>
    <n v="60000"/>
    <n v="2328"/>
    <x v="1"/>
  </r>
  <r>
    <n v="949565"/>
    <x v="29"/>
    <x v="4"/>
    <x v="4"/>
    <x v="3"/>
    <s v="Sales"/>
    <s v="Furniture"/>
    <n v="51"/>
    <n v="51969"/>
    <x v="30"/>
    <x v="0"/>
    <n v="60000"/>
    <n v="0"/>
    <x v="0"/>
  </r>
  <r>
    <n v="756995"/>
    <x v="30"/>
    <x v="7"/>
    <x v="7"/>
    <x v="3"/>
    <s v="Operations"/>
    <s v="Electronics"/>
    <n v="23"/>
    <n v="28658"/>
    <x v="31"/>
    <x v="4"/>
    <n v="55000"/>
    <n v="1432.9"/>
    <x v="1"/>
  </r>
  <r>
    <n v="808505"/>
    <x v="31"/>
    <x v="0"/>
    <x v="0"/>
    <x v="3"/>
    <s v="Marketing"/>
    <s v="Electronics"/>
    <n v="51"/>
    <n v="93585"/>
    <x v="32"/>
    <x v="0"/>
    <n v="60000"/>
    <n v="0"/>
    <x v="0"/>
  </r>
  <r>
    <n v="870287"/>
    <x v="32"/>
    <x v="1"/>
    <x v="1"/>
    <x v="4"/>
    <s v="Sales"/>
    <s v="Furniture"/>
    <n v="50"/>
    <n v="98450"/>
    <x v="33"/>
    <x v="1"/>
    <n v="50000"/>
    <n v="4922.5"/>
    <x v="1"/>
  </r>
  <r>
    <n v="646329"/>
    <x v="33"/>
    <x v="2"/>
    <x v="2"/>
    <x v="4"/>
    <s v="Marketing"/>
    <s v="Stationery"/>
    <n v="33"/>
    <n v="64383"/>
    <x v="34"/>
    <x v="2"/>
    <n v="68500"/>
    <n v="3219.15"/>
    <x v="1"/>
  </r>
  <r>
    <n v="236087"/>
    <x v="34"/>
    <x v="7"/>
    <x v="7"/>
    <x v="4"/>
    <s v="Operations"/>
    <s v="Furniture"/>
    <n v="39"/>
    <n v="54912"/>
    <x v="35"/>
    <x v="4"/>
    <n v="55000"/>
    <n v="2745.6000000000004"/>
    <x v="1"/>
  </r>
  <r>
    <n v="396076"/>
    <x v="35"/>
    <x v="5"/>
    <x v="5"/>
    <x v="4"/>
    <s v="Sales"/>
    <s v="Electronics"/>
    <n v="53"/>
    <n v="77486"/>
    <x v="36"/>
    <x v="1"/>
    <n v="50000"/>
    <n v="0"/>
    <x v="0"/>
  </r>
  <r>
    <n v="669417"/>
    <x v="36"/>
    <x v="0"/>
    <x v="0"/>
    <x v="4"/>
    <s v="Marketing"/>
    <s v="Electronics"/>
    <n v="41"/>
    <n v="41861"/>
    <x v="37"/>
    <x v="0"/>
    <n v="60000"/>
    <n v="2093.0500000000002"/>
    <x v="1"/>
  </r>
  <r>
    <n v="624149"/>
    <x v="37"/>
    <x v="7"/>
    <x v="7"/>
    <x v="4"/>
    <s v="Operations"/>
    <s v="Electronics"/>
    <n v="20"/>
    <n v="21440"/>
    <x v="38"/>
    <x v="4"/>
    <n v="55000"/>
    <n v="1072"/>
    <x v="1"/>
  </r>
  <r>
    <n v="804827"/>
    <x v="38"/>
    <x v="7"/>
    <x v="7"/>
    <x v="4"/>
    <s v="Operations"/>
    <s v="Electronics"/>
    <n v="24"/>
    <n v="46248"/>
    <x v="39"/>
    <x v="4"/>
    <n v="55000"/>
    <n v="0"/>
    <x v="0"/>
  </r>
  <r>
    <n v="428406"/>
    <x v="39"/>
    <x v="7"/>
    <x v="7"/>
    <x v="4"/>
    <s v="Operations"/>
    <s v="Stationery"/>
    <n v="37"/>
    <n v="62345"/>
    <x v="40"/>
    <x v="4"/>
    <n v="55000"/>
    <n v="3117.25"/>
    <x v="1"/>
  </r>
  <r>
    <n v="429678"/>
    <x v="40"/>
    <x v="1"/>
    <x v="1"/>
    <x v="4"/>
    <s v="Sales"/>
    <s v="Furniture"/>
    <n v="56"/>
    <n v="89040"/>
    <x v="41"/>
    <x v="1"/>
    <n v="50000"/>
    <n v="4452"/>
    <x v="1"/>
  </r>
  <r>
    <n v="491866"/>
    <x v="41"/>
    <x v="2"/>
    <x v="2"/>
    <x v="5"/>
    <s v="Marketing"/>
    <s v="Furniture"/>
    <n v="32"/>
    <n v="35072"/>
    <x v="42"/>
    <x v="2"/>
    <n v="68500"/>
    <n v="0"/>
    <x v="0"/>
  </r>
  <r>
    <n v="911594"/>
    <x v="42"/>
    <x v="4"/>
    <x v="4"/>
    <x v="5"/>
    <s v="Sales"/>
    <s v="Electronics"/>
    <n v="47"/>
    <n v="66740"/>
    <x v="43"/>
    <x v="0"/>
    <n v="60000"/>
    <n v="3337"/>
    <x v="1"/>
  </r>
  <r>
    <n v="148280"/>
    <x v="43"/>
    <x v="0"/>
    <x v="0"/>
    <x v="5"/>
    <s v="Marketing"/>
    <s v="Electronics"/>
    <n v="23"/>
    <n v="32476"/>
    <x v="44"/>
    <x v="0"/>
    <n v="60000"/>
    <n v="1623.8000000000002"/>
    <x v="1"/>
  </r>
  <r>
    <n v="141868"/>
    <x v="44"/>
    <x v="7"/>
    <x v="7"/>
    <x v="5"/>
    <s v="Operations"/>
    <s v="Electronics"/>
    <n v="32"/>
    <n v="38208"/>
    <x v="45"/>
    <x v="4"/>
    <n v="55000"/>
    <n v="1910.4"/>
    <x v="1"/>
  </r>
  <r>
    <n v="961598"/>
    <x v="45"/>
    <x v="2"/>
    <x v="2"/>
    <x v="5"/>
    <s v="Marketing"/>
    <s v="Electronics"/>
    <n v="31"/>
    <n v="39835"/>
    <x v="46"/>
    <x v="2"/>
    <n v="68500"/>
    <n v="1991.75"/>
    <x v="1"/>
  </r>
  <r>
    <n v="404058"/>
    <x v="46"/>
    <x v="5"/>
    <x v="5"/>
    <x v="5"/>
    <s v="Sales"/>
    <s v="Stationery"/>
    <n v="55"/>
    <n v="60500"/>
    <x v="47"/>
    <x v="1"/>
    <n v="50000"/>
    <n v="0"/>
    <x v="0"/>
  </r>
  <r>
    <n v="526748"/>
    <x v="47"/>
    <x v="3"/>
    <x v="3"/>
    <x v="5"/>
    <s v="Sales"/>
    <s v="Electronics"/>
    <n v="25"/>
    <n v="48700"/>
    <x v="48"/>
    <x v="2"/>
    <n v="68500"/>
    <n v="2435"/>
    <x v="1"/>
  </r>
  <r>
    <n v="440859"/>
    <x v="19"/>
    <x v="2"/>
    <x v="2"/>
    <x v="5"/>
    <s v="Marketing"/>
    <s v="Electronics"/>
    <n v="51"/>
    <n v="76092"/>
    <x v="49"/>
    <x v="2"/>
    <n v="68500"/>
    <n v="0"/>
    <x v="0"/>
  </r>
  <r>
    <n v="703768"/>
    <x v="48"/>
    <x v="1"/>
    <x v="1"/>
    <x v="5"/>
    <s v="Sales"/>
    <s v="Furniture"/>
    <n v="44"/>
    <n v="44088"/>
    <x v="50"/>
    <x v="1"/>
    <n v="50000"/>
    <n v="2204.4"/>
    <x v="1"/>
  </r>
  <r>
    <n v="715404"/>
    <x v="8"/>
    <x v="6"/>
    <x v="6"/>
    <x v="6"/>
    <s v="Sales"/>
    <s v="Stationery"/>
    <n v="47"/>
    <n v="80511"/>
    <x v="51"/>
    <x v="3"/>
    <n v="45000"/>
    <n v="4025.55"/>
    <x v="1"/>
  </r>
  <r>
    <n v="321701"/>
    <x v="49"/>
    <x v="5"/>
    <x v="5"/>
    <x v="6"/>
    <s v="Sales"/>
    <s v="Electronics"/>
    <n v="29"/>
    <n v="34626"/>
    <x v="52"/>
    <x v="1"/>
    <n v="50000"/>
    <n v="0"/>
    <x v="0"/>
  </r>
  <r>
    <n v="638856"/>
    <x v="3"/>
    <x v="3"/>
    <x v="3"/>
    <x v="6"/>
    <s v="Sales"/>
    <s v="Furniture"/>
    <n v="40"/>
    <n v="42320"/>
    <x v="53"/>
    <x v="2"/>
    <n v="68500"/>
    <n v="0"/>
    <x v="0"/>
  </r>
  <r>
    <n v="443925"/>
    <x v="50"/>
    <x v="1"/>
    <x v="1"/>
    <x v="6"/>
    <s v="Sales"/>
    <s v="Electronics"/>
    <n v="23"/>
    <n v="45609"/>
    <x v="54"/>
    <x v="1"/>
    <n v="50000"/>
    <n v="2280.4500000000003"/>
    <x v="1"/>
  </r>
  <r>
    <n v="122220"/>
    <x v="51"/>
    <x v="0"/>
    <x v="0"/>
    <x v="6"/>
    <s v="Marketing"/>
    <s v="Furniture"/>
    <n v="58"/>
    <n v="62002"/>
    <x v="55"/>
    <x v="0"/>
    <n v="60000"/>
    <n v="3100.1000000000004"/>
    <x v="1"/>
  </r>
  <r>
    <n v="701178"/>
    <x v="52"/>
    <x v="0"/>
    <x v="0"/>
    <x v="6"/>
    <s v="Marketing"/>
    <s v="Electronics"/>
    <n v="56"/>
    <n v="70112"/>
    <x v="56"/>
    <x v="0"/>
    <n v="60000"/>
    <n v="3505.6000000000004"/>
    <x v="1"/>
  </r>
  <r>
    <n v="626979"/>
    <x v="53"/>
    <x v="0"/>
    <x v="0"/>
    <x v="6"/>
    <s v="Marketing"/>
    <s v="Stationery"/>
    <n v="46"/>
    <n v="76958"/>
    <x v="57"/>
    <x v="0"/>
    <n v="60000"/>
    <n v="3847.9"/>
    <x v="1"/>
  </r>
  <r>
    <n v="879135"/>
    <x v="1"/>
    <x v="4"/>
    <x v="4"/>
    <x v="6"/>
    <s v="Sales"/>
    <s v="Furniture"/>
    <n v="36"/>
    <n v="43524"/>
    <x v="58"/>
    <x v="0"/>
    <n v="60000"/>
    <n v="2176.2000000000003"/>
    <x v="1"/>
  </r>
  <r>
    <n v="853549"/>
    <x v="54"/>
    <x v="7"/>
    <x v="7"/>
    <x v="6"/>
    <s v="Operations"/>
    <s v="Stationery"/>
    <n v="36"/>
    <n v="50580"/>
    <x v="59"/>
    <x v="4"/>
    <n v="55000"/>
    <n v="0"/>
    <x v="0"/>
  </r>
  <r>
    <n v="622476"/>
    <x v="55"/>
    <x v="6"/>
    <x v="6"/>
    <x v="6"/>
    <s v="Sales"/>
    <s v="Electronics"/>
    <n v="49"/>
    <n v="64827"/>
    <x v="60"/>
    <x v="3"/>
    <n v="45000"/>
    <n v="3241.3500000000004"/>
    <x v="1"/>
  </r>
  <r>
    <n v="558080"/>
    <x v="56"/>
    <x v="5"/>
    <x v="5"/>
    <x v="6"/>
    <s v="Sales"/>
    <s v="Stationery"/>
    <n v="59"/>
    <n v="92984"/>
    <x v="61"/>
    <x v="1"/>
    <n v="50000"/>
    <n v="0"/>
    <x v="0"/>
  </r>
  <r>
    <n v="705811"/>
    <x v="37"/>
    <x v="7"/>
    <x v="7"/>
    <x v="6"/>
    <s v="Operations"/>
    <s v="Electronics"/>
    <n v="52"/>
    <n v="66092"/>
    <x v="62"/>
    <x v="4"/>
    <n v="55000"/>
    <n v="0"/>
    <x v="0"/>
  </r>
  <r>
    <n v="614942"/>
    <x v="50"/>
    <x v="7"/>
    <x v="7"/>
    <x v="7"/>
    <s v="Operations"/>
    <s v="Stationery"/>
    <n v="43"/>
    <n v="55513"/>
    <x v="63"/>
    <x v="4"/>
    <n v="55000"/>
    <n v="0"/>
    <x v="0"/>
  </r>
  <r>
    <n v="411338"/>
    <x v="57"/>
    <x v="6"/>
    <x v="6"/>
    <x v="7"/>
    <s v="Sales"/>
    <s v="Electronics"/>
    <n v="59"/>
    <n v="107734"/>
    <x v="64"/>
    <x v="3"/>
    <n v="45000"/>
    <n v="5386.7000000000007"/>
    <x v="1"/>
  </r>
  <r>
    <n v="773919"/>
    <x v="58"/>
    <x v="6"/>
    <x v="6"/>
    <x v="7"/>
    <s v="Sales"/>
    <s v="Furniture"/>
    <n v="26"/>
    <n v="50986"/>
    <x v="65"/>
    <x v="3"/>
    <n v="45000"/>
    <n v="2549.3000000000002"/>
    <x v="1"/>
  </r>
  <r>
    <n v="972584"/>
    <x v="41"/>
    <x v="0"/>
    <x v="0"/>
    <x v="7"/>
    <s v="Marketing"/>
    <s v="Furniture"/>
    <n v="26"/>
    <n v="45760"/>
    <x v="66"/>
    <x v="0"/>
    <n v="60000"/>
    <n v="2288"/>
    <x v="1"/>
  </r>
  <r>
    <n v="375513"/>
    <x v="59"/>
    <x v="6"/>
    <x v="6"/>
    <x v="7"/>
    <s v="Sales"/>
    <s v="Electronics"/>
    <n v="58"/>
    <n v="70470"/>
    <x v="67"/>
    <x v="3"/>
    <n v="45000"/>
    <n v="3523.5"/>
    <x v="1"/>
  </r>
  <r>
    <n v="171074"/>
    <x v="25"/>
    <x v="6"/>
    <x v="6"/>
    <x v="7"/>
    <s v="Sales"/>
    <s v="Electronics"/>
    <n v="52"/>
    <n v="78000"/>
    <x v="68"/>
    <x v="3"/>
    <n v="45000"/>
    <n v="0"/>
    <x v="0"/>
  </r>
  <r>
    <n v="658474"/>
    <x v="41"/>
    <x v="2"/>
    <x v="2"/>
    <x v="7"/>
    <s v="Marketing"/>
    <s v="Electronics"/>
    <n v="37"/>
    <n v="38665"/>
    <x v="69"/>
    <x v="2"/>
    <n v="68500"/>
    <n v="0"/>
    <x v="0"/>
  </r>
  <r>
    <n v="136884"/>
    <x v="60"/>
    <x v="6"/>
    <x v="6"/>
    <x v="7"/>
    <s v="Sales"/>
    <s v="Stationery"/>
    <n v="30"/>
    <n v="52770"/>
    <x v="70"/>
    <x v="3"/>
    <n v="45000"/>
    <n v="2638.5"/>
    <x v="1"/>
  </r>
  <r>
    <n v="347309"/>
    <x v="61"/>
    <x v="2"/>
    <x v="2"/>
    <x v="7"/>
    <s v="Marketing"/>
    <s v="Stationery"/>
    <n v="55"/>
    <n v="55495"/>
    <x v="71"/>
    <x v="2"/>
    <n v="68500"/>
    <n v="0"/>
    <x v="0"/>
  </r>
  <r>
    <n v="861040"/>
    <x v="62"/>
    <x v="1"/>
    <x v="1"/>
    <x v="7"/>
    <s v="Sales"/>
    <s v="Stationery"/>
    <n v="54"/>
    <n v="55944"/>
    <x v="72"/>
    <x v="1"/>
    <n v="50000"/>
    <n v="2797.2000000000003"/>
    <x v="1"/>
  </r>
  <r>
    <n v="757259"/>
    <x v="63"/>
    <x v="1"/>
    <x v="1"/>
    <x v="7"/>
    <s v="Sales"/>
    <s v="Furniture"/>
    <n v="47"/>
    <n v="53110"/>
    <x v="73"/>
    <x v="1"/>
    <n v="50000"/>
    <n v="0"/>
    <x v="0"/>
  </r>
  <r>
    <n v="616139"/>
    <x v="64"/>
    <x v="3"/>
    <x v="3"/>
    <x v="8"/>
    <s v="Sales"/>
    <s v="Stationery"/>
    <n v="42"/>
    <n v="51030"/>
    <x v="74"/>
    <x v="2"/>
    <n v="68500"/>
    <n v="2551.5"/>
    <x v="1"/>
  </r>
  <r>
    <n v="310196"/>
    <x v="21"/>
    <x v="0"/>
    <x v="0"/>
    <x v="8"/>
    <s v="Marketing"/>
    <s v="Stationery"/>
    <n v="42"/>
    <n v="75516"/>
    <x v="75"/>
    <x v="0"/>
    <n v="60000"/>
    <n v="3775.8"/>
    <x v="1"/>
  </r>
  <r>
    <n v="855931"/>
    <x v="65"/>
    <x v="1"/>
    <x v="1"/>
    <x v="8"/>
    <s v="Sales"/>
    <s v="Furniture"/>
    <n v="35"/>
    <n v="65975"/>
    <x v="76"/>
    <x v="1"/>
    <n v="50000"/>
    <n v="0"/>
    <x v="0"/>
  </r>
  <r>
    <n v="659392"/>
    <x v="6"/>
    <x v="3"/>
    <x v="3"/>
    <x v="8"/>
    <s v="Sales"/>
    <s v="Stationery"/>
    <n v="31"/>
    <n v="54374"/>
    <x v="77"/>
    <x v="2"/>
    <n v="68500"/>
    <n v="2718.7000000000003"/>
    <x v="1"/>
  </r>
  <r>
    <n v="509306"/>
    <x v="66"/>
    <x v="7"/>
    <x v="7"/>
    <x v="8"/>
    <s v="Operations"/>
    <s v="Electronics"/>
    <n v="37"/>
    <n v="43031"/>
    <x v="78"/>
    <x v="4"/>
    <n v="55000"/>
    <n v="2151.5500000000002"/>
    <x v="1"/>
  </r>
  <r>
    <n v="818214"/>
    <x v="67"/>
    <x v="2"/>
    <x v="2"/>
    <x v="9"/>
    <s v="Marketing"/>
    <s v="Electronics"/>
    <n v="22"/>
    <n v="41338"/>
    <x v="79"/>
    <x v="2"/>
    <n v="68500"/>
    <n v="2066.9"/>
    <x v="1"/>
  </r>
  <r>
    <n v="667432"/>
    <x v="29"/>
    <x v="5"/>
    <x v="5"/>
    <x v="9"/>
    <s v="Sales"/>
    <s v="Electronics"/>
    <n v="42"/>
    <n v="55104"/>
    <x v="80"/>
    <x v="1"/>
    <n v="50000"/>
    <n v="2755.2000000000003"/>
    <x v="1"/>
  </r>
  <r>
    <n v="572637"/>
    <x v="68"/>
    <x v="3"/>
    <x v="3"/>
    <x v="9"/>
    <s v="Sales"/>
    <s v="Electronics"/>
    <n v="32"/>
    <n v="45056"/>
    <x v="81"/>
    <x v="2"/>
    <n v="68500"/>
    <n v="2252.8000000000002"/>
    <x v="1"/>
  </r>
  <r>
    <n v="889905"/>
    <x v="32"/>
    <x v="6"/>
    <x v="6"/>
    <x v="9"/>
    <s v="Sales"/>
    <s v="Stationery"/>
    <n v="42"/>
    <n v="69552"/>
    <x v="82"/>
    <x v="3"/>
    <n v="45000"/>
    <n v="3477.6000000000004"/>
    <x v="1"/>
  </r>
  <r>
    <n v="556516"/>
    <x v="60"/>
    <x v="4"/>
    <x v="4"/>
    <x v="9"/>
    <s v="Sales"/>
    <s v="Electronics"/>
    <n v="21"/>
    <n v="23478"/>
    <x v="83"/>
    <x v="0"/>
    <n v="60000"/>
    <n v="1173.9000000000001"/>
    <x v="1"/>
  </r>
  <r>
    <n v="296032"/>
    <x v="69"/>
    <x v="6"/>
    <x v="6"/>
    <x v="9"/>
    <s v="Sales"/>
    <s v="Furniture"/>
    <n v="22"/>
    <n v="24442"/>
    <x v="84"/>
    <x v="3"/>
    <n v="45000"/>
    <n v="1222.1000000000001"/>
    <x v="1"/>
  </r>
  <r>
    <n v="222196"/>
    <x v="55"/>
    <x v="4"/>
    <x v="4"/>
    <x v="10"/>
    <s v="Sales"/>
    <s v="Furniture"/>
    <n v="47"/>
    <n v="76140"/>
    <x v="85"/>
    <x v="0"/>
    <n v="60000"/>
    <n v="3807"/>
    <x v="1"/>
  </r>
  <r>
    <n v="297033"/>
    <x v="52"/>
    <x v="7"/>
    <x v="7"/>
    <x v="10"/>
    <s v="Operations"/>
    <s v="Electronics"/>
    <n v="36"/>
    <n v="37620"/>
    <x v="86"/>
    <x v="4"/>
    <n v="55000"/>
    <n v="1881"/>
    <x v="1"/>
  </r>
  <r>
    <n v="719040"/>
    <x v="70"/>
    <x v="7"/>
    <x v="7"/>
    <x v="10"/>
    <s v="Operations"/>
    <s v="Furniture"/>
    <n v="43"/>
    <n v="61963"/>
    <x v="87"/>
    <x v="4"/>
    <n v="55000"/>
    <n v="0"/>
    <x v="0"/>
  </r>
  <r>
    <n v="819436"/>
    <x v="62"/>
    <x v="4"/>
    <x v="4"/>
    <x v="10"/>
    <s v="Sales"/>
    <s v="Stationery"/>
    <n v="27"/>
    <n v="46899"/>
    <x v="88"/>
    <x v="0"/>
    <n v="60000"/>
    <n v="2344.9500000000003"/>
    <x v="1"/>
  </r>
  <r>
    <n v="972881"/>
    <x v="71"/>
    <x v="6"/>
    <x v="6"/>
    <x v="10"/>
    <s v="Sales"/>
    <s v="Furniture"/>
    <n v="46"/>
    <n v="61364"/>
    <x v="89"/>
    <x v="3"/>
    <n v="45000"/>
    <n v="3068.2000000000003"/>
    <x v="1"/>
  </r>
  <r>
    <n v="783928"/>
    <x v="72"/>
    <x v="1"/>
    <x v="1"/>
    <x v="11"/>
    <s v="Sales"/>
    <s v="Stationery"/>
    <n v="32"/>
    <n v="45760"/>
    <x v="90"/>
    <x v="1"/>
    <n v="50000"/>
    <n v="2288"/>
    <x v="1"/>
  </r>
  <r>
    <n v="951955"/>
    <x v="73"/>
    <x v="1"/>
    <x v="1"/>
    <x v="11"/>
    <s v="Sales"/>
    <s v="Stationery"/>
    <n v="59"/>
    <n v="93338"/>
    <x v="91"/>
    <x v="1"/>
    <n v="50000"/>
    <n v="0"/>
    <x v="0"/>
  </r>
  <r>
    <n v="500635"/>
    <x v="74"/>
    <x v="3"/>
    <x v="3"/>
    <x v="11"/>
    <s v="Sales"/>
    <s v="Stationery"/>
    <n v="39"/>
    <n v="50427"/>
    <x v="92"/>
    <x v="2"/>
    <n v="68500"/>
    <n v="0"/>
    <x v="0"/>
  </r>
  <r>
    <n v="120112"/>
    <x v="75"/>
    <x v="4"/>
    <x v="4"/>
    <x v="11"/>
    <s v="Sales"/>
    <s v="Electronics"/>
    <n v="49"/>
    <n v="71148"/>
    <x v="93"/>
    <x v="0"/>
    <n v="60000"/>
    <n v="3557.4"/>
    <x v="1"/>
  </r>
  <r>
    <n v="746721"/>
    <x v="76"/>
    <x v="5"/>
    <x v="5"/>
    <x v="11"/>
    <s v="Sales"/>
    <s v="Stationery"/>
    <n v="30"/>
    <n v="50220"/>
    <x v="94"/>
    <x v="1"/>
    <n v="50000"/>
    <n v="0"/>
    <x v="0"/>
  </r>
  <r>
    <n v="149864"/>
    <x v="77"/>
    <x v="4"/>
    <x v="4"/>
    <x v="11"/>
    <s v="Sales"/>
    <s v="Stationery"/>
    <n v="25"/>
    <n v="45950"/>
    <x v="95"/>
    <x v="0"/>
    <n v="60000"/>
    <n v="2297.5"/>
    <x v="1"/>
  </r>
  <r>
    <n v="913305"/>
    <x v="78"/>
    <x v="6"/>
    <x v="6"/>
    <x v="11"/>
    <s v="Sales"/>
    <s v="Electronics"/>
    <n v="34"/>
    <n v="62050"/>
    <x v="96"/>
    <x v="3"/>
    <n v="45000"/>
    <n v="0"/>
    <x v="0"/>
  </r>
  <r>
    <n v="349637"/>
    <x v="62"/>
    <x v="3"/>
    <x v="3"/>
    <x v="11"/>
    <s v="Sales"/>
    <s v="Furniture"/>
    <n v="35"/>
    <n v="52010"/>
    <x v="97"/>
    <x v="2"/>
    <n v="68500"/>
    <n v="2600.5"/>
    <x v="1"/>
  </r>
  <r>
    <n v="112584"/>
    <x v="79"/>
    <x v="2"/>
    <x v="2"/>
    <x v="11"/>
    <s v="Marketing"/>
    <s v="Stationery"/>
    <n v="60"/>
    <n v="95340"/>
    <x v="98"/>
    <x v="2"/>
    <n v="68500"/>
    <n v="0"/>
    <x v="0"/>
  </r>
  <r>
    <n v="525728"/>
    <x v="74"/>
    <x v="2"/>
    <x v="2"/>
    <x v="11"/>
    <s v="Marketing"/>
    <s v="Stationery"/>
    <n v="51"/>
    <n v="71859"/>
    <x v="99"/>
    <x v="2"/>
    <n v="68500"/>
    <n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770265"/>
    <x v="0"/>
    <x v="0"/>
    <s v="EMP002"/>
    <x v="0"/>
    <s v="Marketing"/>
    <s v="Electronics"/>
    <n v="21"/>
    <n v="36939"/>
    <n v="37433"/>
    <x v="0"/>
    <n v="60000"/>
    <n v="0"/>
    <s v="No"/>
    <x v="0"/>
  </r>
  <r>
    <n v="562322"/>
    <x v="1"/>
    <x v="1"/>
    <s v="EMP003"/>
    <x v="0"/>
    <s v="Sales"/>
    <s v="Electronics"/>
    <n v="26"/>
    <n v="43992"/>
    <n v="36857"/>
    <x v="1"/>
    <n v="50000"/>
    <n v="2199.6"/>
    <s v="Ture"/>
    <x v="1"/>
  </r>
  <r>
    <n v="897935"/>
    <x v="2"/>
    <x v="2"/>
    <s v="EMP007"/>
    <x v="0"/>
    <s v="Marketing"/>
    <s v="Electronics"/>
    <n v="22"/>
    <n v="22660"/>
    <n v="26125"/>
    <x v="2"/>
    <n v="68500"/>
    <n v="0"/>
    <s v="No"/>
    <x v="2"/>
  </r>
  <r>
    <n v="531908"/>
    <x v="3"/>
    <x v="3"/>
    <s v="EMP001"/>
    <x v="0"/>
    <s v="Sales"/>
    <s v="Stationery"/>
    <n v="55"/>
    <n v="66165"/>
    <n v="59434"/>
    <x v="2"/>
    <n v="68500"/>
    <n v="3308.25"/>
    <s v="Ture"/>
    <x v="0"/>
  </r>
  <r>
    <n v="208664"/>
    <x v="4"/>
    <x v="2"/>
    <s v="EMP007"/>
    <x v="0"/>
    <s v="Marketing"/>
    <s v="Electronics"/>
    <n v="34"/>
    <n v="49606"/>
    <n v="44952"/>
    <x v="2"/>
    <n v="68500"/>
    <n v="2480.3000000000002"/>
    <s v="Ture"/>
    <x v="3"/>
  </r>
  <r>
    <n v="690563"/>
    <x v="5"/>
    <x v="1"/>
    <s v="EMP003"/>
    <x v="0"/>
    <s v="Sales"/>
    <s v="Electronics"/>
    <n v="47"/>
    <n v="63356"/>
    <n v="63804"/>
    <x v="1"/>
    <n v="50000"/>
    <n v="0"/>
    <s v="No"/>
    <x v="4"/>
  </r>
  <r>
    <n v="484790"/>
    <x v="6"/>
    <x v="4"/>
    <s v="EMP006"/>
    <x v="0"/>
    <s v="Sales"/>
    <s v="Furniture"/>
    <n v="26"/>
    <n v="28444"/>
    <n v="27220"/>
    <x v="0"/>
    <n v="60000"/>
    <n v="1422.2"/>
    <s v="Ture"/>
    <x v="5"/>
  </r>
  <r>
    <n v="424434"/>
    <x v="7"/>
    <x v="4"/>
    <s v="EMP006"/>
    <x v="0"/>
    <s v="Sales"/>
    <s v="Stationery"/>
    <n v="58"/>
    <n v="73660"/>
    <n v="65437"/>
    <x v="0"/>
    <n v="60000"/>
    <n v="3683"/>
    <s v="Ture"/>
    <x v="6"/>
  </r>
  <r>
    <n v="190886"/>
    <x v="8"/>
    <x v="5"/>
    <s v="EMP008"/>
    <x v="1"/>
    <s v="Sales"/>
    <s v="Stationery"/>
    <n v="54"/>
    <n v="60858"/>
    <n v="59657"/>
    <x v="1"/>
    <n v="50000"/>
    <n v="3042.9"/>
    <s v="Ture"/>
    <x v="7"/>
  </r>
  <r>
    <n v="655665"/>
    <x v="9"/>
    <x v="6"/>
    <s v="EMP005"/>
    <x v="1"/>
    <s v="Sales"/>
    <s v="Stationery"/>
    <n v="60"/>
    <n v="97980"/>
    <n v="88473"/>
    <x v="3"/>
    <n v="45000"/>
    <n v="4899"/>
    <s v="Ture"/>
    <x v="2"/>
  </r>
  <r>
    <n v="624861"/>
    <x v="10"/>
    <x v="7"/>
    <s v="EMP004"/>
    <x v="1"/>
    <s v="Operations"/>
    <s v="Furniture"/>
    <n v="24"/>
    <n v="25104"/>
    <n v="19270"/>
    <x v="4"/>
    <n v="55000"/>
    <n v="1255.2"/>
    <s v="Ture"/>
    <x v="6"/>
  </r>
  <r>
    <n v="279643"/>
    <x v="11"/>
    <x v="0"/>
    <s v="EMP002"/>
    <x v="1"/>
    <s v="Marketing"/>
    <s v="Furniture"/>
    <n v="34"/>
    <n v="64158"/>
    <n v="67504"/>
    <x v="0"/>
    <n v="60000"/>
    <n v="0"/>
    <s v="No"/>
    <x v="0"/>
  </r>
  <r>
    <n v="915044"/>
    <x v="12"/>
    <x v="5"/>
    <s v="EMP008"/>
    <x v="1"/>
    <s v="Sales"/>
    <s v="Furniture"/>
    <n v="60"/>
    <n v="111240"/>
    <n v="110263"/>
    <x v="1"/>
    <n v="50000"/>
    <n v="5562"/>
    <s v="Ture"/>
    <x v="0"/>
  </r>
  <r>
    <n v="480683"/>
    <x v="13"/>
    <x v="4"/>
    <s v="EMP006"/>
    <x v="1"/>
    <s v="Sales"/>
    <s v="Stationery"/>
    <n v="33"/>
    <n v="55638"/>
    <n v="56264"/>
    <x v="0"/>
    <n v="60000"/>
    <n v="0"/>
    <s v="No"/>
    <x v="4"/>
  </r>
  <r>
    <n v="527151"/>
    <x v="14"/>
    <x v="0"/>
    <s v="EMP002"/>
    <x v="1"/>
    <s v="Marketing"/>
    <s v="Stationery"/>
    <n v="58"/>
    <n v="95700"/>
    <n v="97897"/>
    <x v="0"/>
    <n v="60000"/>
    <n v="0"/>
    <s v="No"/>
    <x v="0"/>
  </r>
  <r>
    <n v="914427"/>
    <x v="15"/>
    <x v="7"/>
    <s v="EMP004"/>
    <x v="1"/>
    <s v="Operations"/>
    <s v="Stationery"/>
    <n v="30"/>
    <n v="44190"/>
    <n v="42974"/>
    <x v="4"/>
    <n v="55000"/>
    <n v="2209.5"/>
    <s v="Ture"/>
    <x v="8"/>
  </r>
  <r>
    <n v="457546"/>
    <x v="16"/>
    <x v="7"/>
    <s v="EMP004"/>
    <x v="1"/>
    <s v="Operations"/>
    <s v="Electronics"/>
    <n v="40"/>
    <n v="74520"/>
    <n v="66932"/>
    <x v="4"/>
    <n v="55000"/>
    <n v="3726"/>
    <s v="Ture"/>
    <x v="3"/>
  </r>
  <r>
    <n v="674613"/>
    <x v="17"/>
    <x v="3"/>
    <s v="EMP001"/>
    <x v="2"/>
    <s v="Sales"/>
    <s v="Electronics"/>
    <n v="40"/>
    <n v="56400"/>
    <n v="57014"/>
    <x v="2"/>
    <n v="68500"/>
    <n v="0"/>
    <s v="No"/>
    <x v="4"/>
  </r>
  <r>
    <n v="376752"/>
    <x v="18"/>
    <x v="4"/>
    <s v="EMP006"/>
    <x v="2"/>
    <s v="Sales"/>
    <s v="Stationery"/>
    <n v="33"/>
    <n v="55143"/>
    <n v="51964"/>
    <x v="0"/>
    <n v="60000"/>
    <n v="2757.15"/>
    <s v="Ture"/>
    <x v="5"/>
  </r>
  <r>
    <n v="476554"/>
    <x v="19"/>
    <x v="5"/>
    <s v="EMP008"/>
    <x v="2"/>
    <s v="Sales"/>
    <s v="Stationery"/>
    <n v="29"/>
    <n v="36859"/>
    <n v="39572"/>
    <x v="1"/>
    <n v="50000"/>
    <n v="0"/>
    <s v="No"/>
    <x v="1"/>
  </r>
  <r>
    <n v="664779"/>
    <x v="20"/>
    <x v="6"/>
    <s v="EMP005"/>
    <x v="2"/>
    <s v="Sales"/>
    <s v="Furniture"/>
    <n v="57"/>
    <n v="81966"/>
    <n v="72257"/>
    <x v="3"/>
    <n v="45000"/>
    <n v="4098.3"/>
    <s v="Ture"/>
    <x v="3"/>
  </r>
  <r>
    <n v="311452"/>
    <x v="14"/>
    <x v="4"/>
    <s v="EMP006"/>
    <x v="2"/>
    <s v="Sales"/>
    <s v="Electronics"/>
    <n v="34"/>
    <n v="38794"/>
    <n v="35446"/>
    <x v="0"/>
    <n v="60000"/>
    <n v="1939.7"/>
    <s v="Ture"/>
    <x v="0"/>
  </r>
  <r>
    <n v="448445"/>
    <x v="21"/>
    <x v="3"/>
    <s v="EMP001"/>
    <x v="2"/>
    <s v="Sales"/>
    <s v="Stationery"/>
    <n v="27"/>
    <n v="31212"/>
    <n v="25932"/>
    <x v="2"/>
    <n v="68500"/>
    <n v="1560.6000000000001"/>
    <s v="Ture"/>
    <x v="3"/>
  </r>
  <r>
    <n v="384298"/>
    <x v="22"/>
    <x v="2"/>
    <s v="EMP007"/>
    <x v="3"/>
    <s v="Marketing"/>
    <s v="Stationery"/>
    <n v="58"/>
    <n v="61770"/>
    <n v="60466"/>
    <x v="2"/>
    <n v="68500"/>
    <n v="3088.5"/>
    <s v="Ture"/>
    <x v="2"/>
  </r>
  <r>
    <n v="168453"/>
    <x v="23"/>
    <x v="5"/>
    <s v="EMP008"/>
    <x v="3"/>
    <s v="Sales"/>
    <s v="Stationery"/>
    <n v="53"/>
    <n v="66621"/>
    <n v="62557"/>
    <x v="1"/>
    <n v="50000"/>
    <n v="3331.05"/>
    <s v="Ture"/>
    <x v="1"/>
  </r>
  <r>
    <n v="985975"/>
    <x v="24"/>
    <x v="0"/>
    <s v="EMP002"/>
    <x v="3"/>
    <s v="Marketing"/>
    <s v="Furniture"/>
    <n v="54"/>
    <n v="95472"/>
    <n v="96101"/>
    <x v="0"/>
    <n v="60000"/>
    <n v="0"/>
    <s v="No"/>
    <x v="9"/>
  </r>
  <r>
    <n v="177349"/>
    <x v="25"/>
    <x v="0"/>
    <s v="EMP002"/>
    <x v="3"/>
    <s v="Marketing"/>
    <s v="Electronics"/>
    <n v="38"/>
    <n v="54910"/>
    <n v="57319"/>
    <x v="0"/>
    <n v="60000"/>
    <n v="0"/>
    <s v="No"/>
    <x v="1"/>
  </r>
  <r>
    <n v="717424"/>
    <x v="26"/>
    <x v="6"/>
    <s v="EMP005"/>
    <x v="3"/>
    <s v="Sales"/>
    <s v="Electronics"/>
    <n v="52"/>
    <n v="92560"/>
    <n v="94633"/>
    <x v="3"/>
    <n v="45000"/>
    <n v="0"/>
    <s v="No"/>
    <x v="1"/>
  </r>
  <r>
    <n v="627211"/>
    <x v="27"/>
    <x v="6"/>
    <s v="EMP005"/>
    <x v="3"/>
    <s v="Sales"/>
    <s v="Electronics"/>
    <n v="60"/>
    <n v="91140"/>
    <n v="86163"/>
    <x v="3"/>
    <n v="45000"/>
    <n v="4557"/>
    <s v="Ture"/>
    <x v="0"/>
  </r>
  <r>
    <n v="253564"/>
    <x v="28"/>
    <x v="4"/>
    <s v="EMP006"/>
    <x v="3"/>
    <s v="Sales"/>
    <s v="Electronics"/>
    <n v="30"/>
    <n v="46560"/>
    <n v="38803"/>
    <x v="0"/>
    <n v="60000"/>
    <n v="2328"/>
    <s v="Ture"/>
    <x v="10"/>
  </r>
  <r>
    <n v="949565"/>
    <x v="29"/>
    <x v="4"/>
    <s v="EMP006"/>
    <x v="3"/>
    <s v="Sales"/>
    <s v="Furniture"/>
    <n v="51"/>
    <n v="51969"/>
    <n v="55137"/>
    <x v="0"/>
    <n v="60000"/>
    <n v="0"/>
    <s v="No"/>
    <x v="8"/>
  </r>
  <r>
    <n v="756995"/>
    <x v="30"/>
    <x v="7"/>
    <s v="EMP004"/>
    <x v="3"/>
    <s v="Operations"/>
    <s v="Electronics"/>
    <n v="23"/>
    <n v="28658"/>
    <n v="19273"/>
    <x v="4"/>
    <n v="55000"/>
    <n v="1432.9"/>
    <s v="Ture"/>
    <x v="2"/>
  </r>
  <r>
    <n v="808505"/>
    <x v="31"/>
    <x v="0"/>
    <s v="EMP002"/>
    <x v="3"/>
    <s v="Marketing"/>
    <s v="Electronics"/>
    <n v="51"/>
    <n v="93585"/>
    <n v="97452"/>
    <x v="0"/>
    <n v="60000"/>
    <n v="0"/>
    <s v="No"/>
    <x v="3"/>
  </r>
  <r>
    <n v="870287"/>
    <x v="32"/>
    <x v="1"/>
    <s v="EMP003"/>
    <x v="4"/>
    <s v="Sales"/>
    <s v="Furniture"/>
    <n v="50"/>
    <n v="98450"/>
    <n v="94443"/>
    <x v="1"/>
    <n v="50000"/>
    <n v="4922.5"/>
    <s v="Ture"/>
    <x v="7"/>
  </r>
  <r>
    <n v="646329"/>
    <x v="33"/>
    <x v="2"/>
    <s v="EMP007"/>
    <x v="4"/>
    <s v="Marketing"/>
    <s v="Stationery"/>
    <n v="33"/>
    <n v="64383"/>
    <n v="60548"/>
    <x v="2"/>
    <n v="68500"/>
    <n v="3219.15"/>
    <s v="Ture"/>
    <x v="6"/>
  </r>
  <r>
    <n v="236087"/>
    <x v="34"/>
    <x v="7"/>
    <s v="EMP004"/>
    <x v="4"/>
    <s v="Operations"/>
    <s v="Furniture"/>
    <n v="39"/>
    <n v="54912"/>
    <n v="48908"/>
    <x v="4"/>
    <n v="55000"/>
    <n v="2745.6000000000004"/>
    <s v="Ture"/>
    <x v="1"/>
  </r>
  <r>
    <n v="396076"/>
    <x v="35"/>
    <x v="5"/>
    <s v="EMP008"/>
    <x v="4"/>
    <s v="Sales"/>
    <s v="Electronics"/>
    <n v="53"/>
    <n v="77486"/>
    <n v="80504"/>
    <x v="1"/>
    <n v="50000"/>
    <n v="0"/>
    <s v="No"/>
    <x v="4"/>
  </r>
  <r>
    <n v="669417"/>
    <x v="36"/>
    <x v="0"/>
    <s v="EMP002"/>
    <x v="4"/>
    <s v="Marketing"/>
    <s v="Electronics"/>
    <n v="41"/>
    <n v="41861"/>
    <n v="37223"/>
    <x v="0"/>
    <n v="60000"/>
    <n v="2093.0500000000002"/>
    <s v="Ture"/>
    <x v="7"/>
  </r>
  <r>
    <n v="624149"/>
    <x v="37"/>
    <x v="7"/>
    <s v="EMP004"/>
    <x v="4"/>
    <s v="Operations"/>
    <s v="Electronics"/>
    <n v="20"/>
    <n v="21440"/>
    <n v="14843"/>
    <x v="4"/>
    <n v="55000"/>
    <n v="1072"/>
    <s v="Ture"/>
    <x v="7"/>
  </r>
  <r>
    <n v="804827"/>
    <x v="38"/>
    <x v="7"/>
    <s v="EMP004"/>
    <x v="4"/>
    <s v="Operations"/>
    <s v="Electronics"/>
    <n v="24"/>
    <n v="46248"/>
    <n v="50734"/>
    <x v="4"/>
    <n v="55000"/>
    <n v="0"/>
    <s v="No"/>
    <x v="11"/>
  </r>
  <r>
    <n v="428406"/>
    <x v="39"/>
    <x v="7"/>
    <s v="EMP004"/>
    <x v="4"/>
    <s v="Operations"/>
    <s v="Stationery"/>
    <n v="37"/>
    <n v="62345"/>
    <n v="59392"/>
    <x v="4"/>
    <n v="55000"/>
    <n v="3117.25"/>
    <s v="Ture"/>
    <x v="6"/>
  </r>
  <r>
    <n v="429678"/>
    <x v="40"/>
    <x v="1"/>
    <s v="EMP003"/>
    <x v="4"/>
    <s v="Sales"/>
    <s v="Furniture"/>
    <n v="56"/>
    <n v="89040"/>
    <n v="86296"/>
    <x v="1"/>
    <n v="50000"/>
    <n v="4452"/>
    <s v="Ture"/>
    <x v="0"/>
  </r>
  <r>
    <n v="491866"/>
    <x v="41"/>
    <x v="2"/>
    <s v="EMP007"/>
    <x v="5"/>
    <s v="Marketing"/>
    <s v="Furniture"/>
    <n v="32"/>
    <n v="35072"/>
    <n v="38484"/>
    <x v="2"/>
    <n v="68500"/>
    <n v="0"/>
    <s v="No"/>
    <x v="7"/>
  </r>
  <r>
    <n v="911594"/>
    <x v="42"/>
    <x v="4"/>
    <s v="EMP006"/>
    <x v="5"/>
    <s v="Sales"/>
    <s v="Electronics"/>
    <n v="47"/>
    <n v="66740"/>
    <n v="64089"/>
    <x v="0"/>
    <n v="60000"/>
    <n v="3337"/>
    <s v="Ture"/>
    <x v="8"/>
  </r>
  <r>
    <n v="148280"/>
    <x v="43"/>
    <x v="0"/>
    <s v="EMP002"/>
    <x v="5"/>
    <s v="Marketing"/>
    <s v="Electronics"/>
    <n v="23"/>
    <n v="32476"/>
    <n v="25545"/>
    <x v="0"/>
    <n v="60000"/>
    <n v="1623.8000000000002"/>
    <s v="Ture"/>
    <x v="7"/>
  </r>
  <r>
    <n v="141868"/>
    <x v="44"/>
    <x v="7"/>
    <s v="EMP004"/>
    <x v="5"/>
    <s v="Operations"/>
    <s v="Electronics"/>
    <n v="32"/>
    <n v="38208"/>
    <n v="34422"/>
    <x v="4"/>
    <n v="55000"/>
    <n v="1910.4"/>
    <s v="Ture"/>
    <x v="6"/>
  </r>
  <r>
    <n v="961598"/>
    <x v="45"/>
    <x v="2"/>
    <s v="EMP007"/>
    <x v="5"/>
    <s v="Marketing"/>
    <s v="Electronics"/>
    <n v="31"/>
    <n v="39835"/>
    <n v="37256"/>
    <x v="2"/>
    <n v="68500"/>
    <n v="1991.75"/>
    <s v="Ture"/>
    <x v="1"/>
  </r>
  <r>
    <n v="404058"/>
    <x v="46"/>
    <x v="5"/>
    <s v="EMP008"/>
    <x v="5"/>
    <s v="Sales"/>
    <s v="Stationery"/>
    <n v="55"/>
    <n v="60500"/>
    <n v="64672"/>
    <x v="1"/>
    <n v="50000"/>
    <n v="0"/>
    <s v="No"/>
    <x v="2"/>
  </r>
  <r>
    <n v="526748"/>
    <x v="47"/>
    <x v="3"/>
    <s v="EMP001"/>
    <x v="5"/>
    <s v="Sales"/>
    <s v="Electronics"/>
    <n v="25"/>
    <n v="48700"/>
    <n v="41354"/>
    <x v="2"/>
    <n v="68500"/>
    <n v="2435"/>
    <s v="Ture"/>
    <x v="0"/>
  </r>
  <r>
    <n v="440859"/>
    <x v="19"/>
    <x v="2"/>
    <s v="EMP007"/>
    <x v="5"/>
    <s v="Marketing"/>
    <s v="Electronics"/>
    <n v="51"/>
    <n v="76092"/>
    <n v="77590"/>
    <x v="2"/>
    <n v="68500"/>
    <n v="0"/>
    <s v="No"/>
    <x v="1"/>
  </r>
  <r>
    <n v="703768"/>
    <x v="48"/>
    <x v="1"/>
    <s v="EMP003"/>
    <x v="5"/>
    <s v="Sales"/>
    <s v="Furniture"/>
    <n v="44"/>
    <n v="44088"/>
    <n v="42692"/>
    <x v="1"/>
    <n v="50000"/>
    <n v="2204.4"/>
    <s v="Ture"/>
    <x v="9"/>
  </r>
  <r>
    <n v="715404"/>
    <x v="8"/>
    <x v="6"/>
    <s v="EMP005"/>
    <x v="6"/>
    <s v="Sales"/>
    <s v="Stationery"/>
    <n v="47"/>
    <n v="80511"/>
    <n v="73543"/>
    <x v="3"/>
    <n v="45000"/>
    <n v="4025.55"/>
    <s v="Ture"/>
    <x v="7"/>
  </r>
  <r>
    <n v="321701"/>
    <x v="49"/>
    <x v="5"/>
    <s v="EMP008"/>
    <x v="6"/>
    <s v="Sales"/>
    <s v="Electronics"/>
    <n v="29"/>
    <n v="34626"/>
    <n v="34765"/>
    <x v="1"/>
    <n v="50000"/>
    <n v="0"/>
    <s v="No"/>
    <x v="10"/>
  </r>
  <r>
    <n v="638856"/>
    <x v="3"/>
    <x v="3"/>
    <s v="EMP001"/>
    <x v="6"/>
    <s v="Sales"/>
    <s v="Furniture"/>
    <n v="40"/>
    <n v="42320"/>
    <n v="46499"/>
    <x v="2"/>
    <n v="68500"/>
    <n v="0"/>
    <s v="No"/>
    <x v="0"/>
  </r>
  <r>
    <n v="443925"/>
    <x v="50"/>
    <x v="1"/>
    <s v="EMP003"/>
    <x v="6"/>
    <s v="Sales"/>
    <s v="Electronics"/>
    <n v="23"/>
    <n v="45609"/>
    <n v="42289"/>
    <x v="1"/>
    <n v="50000"/>
    <n v="2280.4500000000003"/>
    <s v="Ture"/>
    <x v="1"/>
  </r>
  <r>
    <n v="122220"/>
    <x v="51"/>
    <x v="0"/>
    <s v="EMP002"/>
    <x v="6"/>
    <s v="Marketing"/>
    <s v="Furniture"/>
    <n v="58"/>
    <n v="62002"/>
    <n v="55940"/>
    <x v="0"/>
    <n v="60000"/>
    <n v="3100.1000000000004"/>
    <s v="Ture"/>
    <x v="9"/>
  </r>
  <r>
    <n v="701178"/>
    <x v="52"/>
    <x v="0"/>
    <s v="EMP002"/>
    <x v="6"/>
    <s v="Marketing"/>
    <s v="Electronics"/>
    <n v="56"/>
    <n v="70112"/>
    <n v="65627"/>
    <x v="0"/>
    <n v="60000"/>
    <n v="3505.6000000000004"/>
    <s v="Ture"/>
    <x v="2"/>
  </r>
  <r>
    <n v="626979"/>
    <x v="53"/>
    <x v="0"/>
    <s v="EMP002"/>
    <x v="6"/>
    <s v="Marketing"/>
    <s v="Stationery"/>
    <n v="46"/>
    <n v="76958"/>
    <n v="72396"/>
    <x v="0"/>
    <n v="60000"/>
    <n v="3847.9"/>
    <s v="Ture"/>
    <x v="5"/>
  </r>
  <r>
    <n v="879135"/>
    <x v="1"/>
    <x v="4"/>
    <s v="EMP006"/>
    <x v="6"/>
    <s v="Sales"/>
    <s v="Furniture"/>
    <n v="36"/>
    <n v="43524"/>
    <n v="37552"/>
    <x v="0"/>
    <n v="60000"/>
    <n v="2176.2000000000003"/>
    <s v="Ture"/>
    <x v="1"/>
  </r>
  <r>
    <n v="853549"/>
    <x v="54"/>
    <x v="7"/>
    <s v="EMP004"/>
    <x v="6"/>
    <s v="Operations"/>
    <s v="Stationery"/>
    <n v="36"/>
    <n v="50580"/>
    <n v="53436"/>
    <x v="4"/>
    <n v="55000"/>
    <n v="0"/>
    <s v="No"/>
    <x v="11"/>
  </r>
  <r>
    <n v="622476"/>
    <x v="55"/>
    <x v="6"/>
    <s v="EMP005"/>
    <x v="6"/>
    <s v="Sales"/>
    <s v="Electronics"/>
    <n v="49"/>
    <n v="64827"/>
    <n v="57509"/>
    <x v="3"/>
    <n v="45000"/>
    <n v="3241.3500000000004"/>
    <s v="Ture"/>
    <x v="3"/>
  </r>
  <r>
    <n v="558080"/>
    <x v="56"/>
    <x v="5"/>
    <s v="EMP008"/>
    <x v="6"/>
    <s v="Sales"/>
    <s v="Stationery"/>
    <n v="59"/>
    <n v="92984"/>
    <n v="96346"/>
    <x v="1"/>
    <n v="50000"/>
    <n v="0"/>
    <s v="No"/>
    <x v="2"/>
  </r>
  <r>
    <n v="705811"/>
    <x v="37"/>
    <x v="7"/>
    <s v="EMP004"/>
    <x v="6"/>
    <s v="Operations"/>
    <s v="Electronics"/>
    <n v="52"/>
    <n v="66092"/>
    <n v="68922"/>
    <x v="4"/>
    <n v="55000"/>
    <n v="0"/>
    <s v="No"/>
    <x v="7"/>
  </r>
  <r>
    <n v="614942"/>
    <x v="50"/>
    <x v="7"/>
    <s v="EMP004"/>
    <x v="7"/>
    <s v="Operations"/>
    <s v="Stationery"/>
    <n v="43"/>
    <n v="55513"/>
    <n v="57929"/>
    <x v="4"/>
    <n v="55000"/>
    <n v="0"/>
    <s v="No"/>
    <x v="1"/>
  </r>
  <r>
    <n v="411338"/>
    <x v="57"/>
    <x v="6"/>
    <s v="EMP005"/>
    <x v="7"/>
    <s v="Sales"/>
    <s v="Electronics"/>
    <n v="59"/>
    <n v="107734"/>
    <n v="102020"/>
    <x v="3"/>
    <n v="45000"/>
    <n v="5386.7000000000007"/>
    <s v="Ture"/>
    <x v="2"/>
  </r>
  <r>
    <n v="773919"/>
    <x v="58"/>
    <x v="6"/>
    <s v="EMP005"/>
    <x v="7"/>
    <s v="Sales"/>
    <s v="Furniture"/>
    <n v="26"/>
    <n v="50986"/>
    <n v="41599"/>
    <x v="3"/>
    <n v="45000"/>
    <n v="2549.3000000000002"/>
    <s v="Ture"/>
    <x v="6"/>
  </r>
  <r>
    <n v="972584"/>
    <x v="41"/>
    <x v="0"/>
    <s v="EMP002"/>
    <x v="7"/>
    <s v="Marketing"/>
    <s v="Furniture"/>
    <n v="26"/>
    <n v="45760"/>
    <n v="41696"/>
    <x v="0"/>
    <n v="60000"/>
    <n v="2288"/>
    <s v="Ture"/>
    <x v="7"/>
  </r>
  <r>
    <n v="375513"/>
    <x v="59"/>
    <x v="6"/>
    <s v="EMP005"/>
    <x v="7"/>
    <s v="Sales"/>
    <s v="Electronics"/>
    <n v="58"/>
    <n v="70470"/>
    <n v="63713"/>
    <x v="3"/>
    <n v="45000"/>
    <n v="3523.5"/>
    <s v="Ture"/>
    <x v="6"/>
  </r>
  <r>
    <n v="171074"/>
    <x v="25"/>
    <x v="6"/>
    <s v="EMP005"/>
    <x v="7"/>
    <s v="Sales"/>
    <s v="Electronics"/>
    <n v="52"/>
    <n v="78000"/>
    <n v="78886"/>
    <x v="3"/>
    <n v="45000"/>
    <n v="0"/>
    <s v="No"/>
    <x v="1"/>
  </r>
  <r>
    <n v="658474"/>
    <x v="41"/>
    <x v="2"/>
    <s v="EMP007"/>
    <x v="7"/>
    <s v="Marketing"/>
    <s v="Electronics"/>
    <n v="37"/>
    <n v="38665"/>
    <n v="43607"/>
    <x v="2"/>
    <n v="68500"/>
    <n v="0"/>
    <s v="No"/>
    <x v="7"/>
  </r>
  <r>
    <n v="136884"/>
    <x v="60"/>
    <x v="6"/>
    <s v="EMP005"/>
    <x v="7"/>
    <s v="Sales"/>
    <s v="Stationery"/>
    <n v="30"/>
    <n v="52770"/>
    <n v="50531"/>
    <x v="3"/>
    <n v="45000"/>
    <n v="2638.5"/>
    <s v="Ture"/>
    <x v="10"/>
  </r>
  <r>
    <n v="347309"/>
    <x v="61"/>
    <x v="2"/>
    <s v="EMP007"/>
    <x v="7"/>
    <s v="Marketing"/>
    <s v="Stationery"/>
    <n v="55"/>
    <n v="55495"/>
    <n v="58663"/>
    <x v="2"/>
    <n v="68500"/>
    <n v="0"/>
    <s v="No"/>
    <x v="6"/>
  </r>
  <r>
    <n v="861040"/>
    <x v="62"/>
    <x v="1"/>
    <s v="EMP003"/>
    <x v="7"/>
    <s v="Sales"/>
    <s v="Stationery"/>
    <n v="54"/>
    <n v="55944"/>
    <n v="47270"/>
    <x v="1"/>
    <n v="50000"/>
    <n v="2797.2000000000003"/>
    <s v="Ture"/>
    <x v="9"/>
  </r>
  <r>
    <n v="757259"/>
    <x v="63"/>
    <x v="1"/>
    <s v="EMP003"/>
    <x v="7"/>
    <s v="Sales"/>
    <s v="Furniture"/>
    <n v="47"/>
    <n v="53110"/>
    <n v="57425"/>
    <x v="1"/>
    <n v="50000"/>
    <n v="0"/>
    <s v="No"/>
    <x v="2"/>
  </r>
  <r>
    <n v="616139"/>
    <x v="64"/>
    <x v="3"/>
    <s v="EMP001"/>
    <x v="8"/>
    <s v="Sales"/>
    <s v="Stationery"/>
    <n v="42"/>
    <n v="51030"/>
    <n v="44856"/>
    <x v="2"/>
    <n v="68500"/>
    <n v="2551.5"/>
    <s v="Ture"/>
    <x v="11"/>
  </r>
  <r>
    <n v="310196"/>
    <x v="21"/>
    <x v="0"/>
    <s v="EMP002"/>
    <x v="8"/>
    <s v="Marketing"/>
    <s v="Stationery"/>
    <n v="42"/>
    <n v="75516"/>
    <n v="71343"/>
    <x v="0"/>
    <n v="60000"/>
    <n v="3775.8"/>
    <s v="Ture"/>
    <x v="3"/>
  </r>
  <r>
    <n v="855931"/>
    <x v="65"/>
    <x v="1"/>
    <s v="EMP003"/>
    <x v="8"/>
    <s v="Sales"/>
    <s v="Furniture"/>
    <n v="35"/>
    <n v="65975"/>
    <n v="68313"/>
    <x v="1"/>
    <n v="50000"/>
    <n v="0"/>
    <s v="No"/>
    <x v="7"/>
  </r>
  <r>
    <n v="659392"/>
    <x v="6"/>
    <x v="3"/>
    <s v="EMP001"/>
    <x v="8"/>
    <s v="Sales"/>
    <s v="Stationery"/>
    <n v="31"/>
    <n v="54374"/>
    <n v="53932"/>
    <x v="2"/>
    <n v="68500"/>
    <n v="2718.7000000000003"/>
    <s v="Ture"/>
    <x v="5"/>
  </r>
  <r>
    <n v="509306"/>
    <x v="66"/>
    <x v="7"/>
    <s v="EMP004"/>
    <x v="8"/>
    <s v="Operations"/>
    <s v="Electronics"/>
    <n v="37"/>
    <n v="43031"/>
    <n v="35131"/>
    <x v="4"/>
    <n v="55000"/>
    <n v="2151.5500000000002"/>
    <s v="Ture"/>
    <x v="1"/>
  </r>
  <r>
    <n v="818214"/>
    <x v="67"/>
    <x v="2"/>
    <s v="EMP007"/>
    <x v="9"/>
    <s v="Marketing"/>
    <s v="Electronics"/>
    <n v="22"/>
    <n v="41338"/>
    <n v="38627"/>
    <x v="2"/>
    <n v="68500"/>
    <n v="2066.9"/>
    <s v="Ture"/>
    <x v="3"/>
  </r>
  <r>
    <n v="667432"/>
    <x v="29"/>
    <x v="5"/>
    <s v="EMP008"/>
    <x v="9"/>
    <s v="Sales"/>
    <s v="Electronics"/>
    <n v="42"/>
    <n v="55104"/>
    <n v="46661"/>
    <x v="1"/>
    <n v="50000"/>
    <n v="2755.2000000000003"/>
    <s v="Ture"/>
    <x v="8"/>
  </r>
  <r>
    <n v="572637"/>
    <x v="68"/>
    <x v="3"/>
    <s v="EMP001"/>
    <x v="9"/>
    <s v="Sales"/>
    <s v="Electronics"/>
    <n v="32"/>
    <n v="45056"/>
    <n v="44678"/>
    <x v="2"/>
    <n v="68500"/>
    <n v="2252.8000000000002"/>
    <s v="Ture"/>
    <x v="1"/>
  </r>
  <r>
    <n v="889905"/>
    <x v="32"/>
    <x v="6"/>
    <s v="EMP005"/>
    <x v="9"/>
    <s v="Sales"/>
    <s v="Stationery"/>
    <n v="42"/>
    <n v="69552"/>
    <n v="66206"/>
    <x v="3"/>
    <n v="45000"/>
    <n v="3477.6000000000004"/>
    <s v="Ture"/>
    <x v="7"/>
  </r>
  <r>
    <n v="556516"/>
    <x v="60"/>
    <x v="4"/>
    <s v="EMP006"/>
    <x v="9"/>
    <s v="Sales"/>
    <s v="Electronics"/>
    <n v="21"/>
    <n v="23478"/>
    <n v="14109"/>
    <x v="0"/>
    <n v="60000"/>
    <n v="1173.9000000000001"/>
    <s v="Ture"/>
    <x v="10"/>
  </r>
  <r>
    <n v="296032"/>
    <x v="69"/>
    <x v="6"/>
    <s v="EMP005"/>
    <x v="9"/>
    <s v="Sales"/>
    <s v="Furniture"/>
    <n v="22"/>
    <n v="24442"/>
    <n v="19668"/>
    <x v="3"/>
    <n v="45000"/>
    <n v="1222.1000000000001"/>
    <s v="Ture"/>
    <x v="3"/>
  </r>
  <r>
    <n v="222196"/>
    <x v="55"/>
    <x v="4"/>
    <s v="EMP006"/>
    <x v="10"/>
    <s v="Sales"/>
    <s v="Furniture"/>
    <n v="47"/>
    <n v="76140"/>
    <n v="72761"/>
    <x v="0"/>
    <n v="60000"/>
    <n v="3807"/>
    <s v="Ture"/>
    <x v="3"/>
  </r>
  <r>
    <n v="297033"/>
    <x v="52"/>
    <x v="7"/>
    <s v="EMP004"/>
    <x v="10"/>
    <s v="Operations"/>
    <s v="Electronics"/>
    <n v="36"/>
    <n v="37620"/>
    <n v="31008"/>
    <x v="4"/>
    <n v="55000"/>
    <n v="1881"/>
    <s v="Ture"/>
    <x v="2"/>
  </r>
  <r>
    <n v="719040"/>
    <x v="70"/>
    <x v="7"/>
    <s v="EMP004"/>
    <x v="10"/>
    <s v="Operations"/>
    <s v="Furniture"/>
    <n v="43"/>
    <n v="61963"/>
    <n v="65817"/>
    <x v="4"/>
    <n v="55000"/>
    <n v="0"/>
    <s v="No"/>
    <x v="6"/>
  </r>
  <r>
    <n v="819436"/>
    <x v="62"/>
    <x v="4"/>
    <s v="EMP006"/>
    <x v="10"/>
    <s v="Sales"/>
    <s v="Stationery"/>
    <n v="27"/>
    <n v="46899"/>
    <n v="37153"/>
    <x v="0"/>
    <n v="60000"/>
    <n v="2344.9500000000003"/>
    <s v="Ture"/>
    <x v="9"/>
  </r>
  <r>
    <n v="972881"/>
    <x v="71"/>
    <x v="6"/>
    <s v="EMP005"/>
    <x v="10"/>
    <s v="Sales"/>
    <s v="Furniture"/>
    <n v="46"/>
    <n v="61364"/>
    <n v="59772"/>
    <x v="3"/>
    <n v="45000"/>
    <n v="3068.2000000000003"/>
    <s v="Ture"/>
    <x v="8"/>
  </r>
  <r>
    <n v="783928"/>
    <x v="72"/>
    <x v="1"/>
    <s v="EMP003"/>
    <x v="11"/>
    <s v="Sales"/>
    <s v="Stationery"/>
    <n v="32"/>
    <n v="45760"/>
    <n v="39866"/>
    <x v="1"/>
    <n v="50000"/>
    <n v="2288"/>
    <s v="Ture"/>
    <x v="0"/>
  </r>
  <r>
    <n v="951955"/>
    <x v="73"/>
    <x v="1"/>
    <s v="EMP003"/>
    <x v="11"/>
    <s v="Sales"/>
    <s v="Stationery"/>
    <n v="59"/>
    <n v="93338"/>
    <n v="93408"/>
    <x v="1"/>
    <n v="50000"/>
    <n v="0"/>
    <s v="No"/>
    <x v="0"/>
  </r>
  <r>
    <n v="500635"/>
    <x v="74"/>
    <x v="3"/>
    <s v="EMP001"/>
    <x v="11"/>
    <s v="Sales"/>
    <s v="Stationery"/>
    <n v="39"/>
    <n v="50427"/>
    <n v="51984"/>
    <x v="2"/>
    <n v="68500"/>
    <n v="0"/>
    <s v="No"/>
    <x v="7"/>
  </r>
  <r>
    <n v="120112"/>
    <x v="75"/>
    <x v="4"/>
    <s v="EMP006"/>
    <x v="11"/>
    <s v="Sales"/>
    <s v="Electronics"/>
    <n v="49"/>
    <n v="71148"/>
    <n v="68904"/>
    <x v="0"/>
    <n v="60000"/>
    <n v="3557.4"/>
    <s v="Ture"/>
    <x v="8"/>
  </r>
  <r>
    <n v="746721"/>
    <x v="76"/>
    <x v="5"/>
    <s v="EMP008"/>
    <x v="11"/>
    <s v="Sales"/>
    <s v="Stationery"/>
    <n v="30"/>
    <n v="50220"/>
    <n v="53831"/>
    <x v="1"/>
    <n v="50000"/>
    <n v="0"/>
    <s v="No"/>
    <x v="6"/>
  </r>
  <r>
    <n v="149864"/>
    <x v="77"/>
    <x v="4"/>
    <s v="EMP006"/>
    <x v="11"/>
    <s v="Sales"/>
    <s v="Stationery"/>
    <n v="25"/>
    <n v="45950"/>
    <n v="38644"/>
    <x v="0"/>
    <n v="60000"/>
    <n v="2297.5"/>
    <s v="Ture"/>
    <x v="7"/>
  </r>
  <r>
    <n v="913305"/>
    <x v="78"/>
    <x v="6"/>
    <s v="EMP005"/>
    <x v="11"/>
    <s v="Sales"/>
    <s v="Electronics"/>
    <n v="34"/>
    <n v="62050"/>
    <n v="63788"/>
    <x v="3"/>
    <n v="45000"/>
    <n v="0"/>
    <s v="No"/>
    <x v="11"/>
  </r>
  <r>
    <n v="349637"/>
    <x v="62"/>
    <x v="3"/>
    <s v="EMP001"/>
    <x v="11"/>
    <s v="Sales"/>
    <s v="Furniture"/>
    <n v="35"/>
    <n v="52010"/>
    <n v="46995"/>
    <x v="2"/>
    <n v="68500"/>
    <n v="2600.5"/>
    <s v="Ture"/>
    <x v="9"/>
  </r>
  <r>
    <n v="112584"/>
    <x v="79"/>
    <x v="2"/>
    <s v="EMP007"/>
    <x v="11"/>
    <s v="Marketing"/>
    <s v="Stationery"/>
    <n v="60"/>
    <n v="95340"/>
    <n v="97155"/>
    <x v="2"/>
    <n v="68500"/>
    <n v="0"/>
    <s v="No"/>
    <x v="10"/>
  </r>
  <r>
    <n v="525728"/>
    <x v="74"/>
    <x v="2"/>
    <s v="EMP007"/>
    <x v="11"/>
    <s v="Marketing"/>
    <s v="Stationery"/>
    <n v="51"/>
    <n v="71859"/>
    <n v="72862"/>
    <x v="2"/>
    <n v="68500"/>
    <n v="0"/>
    <s v="No"/>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90CDCF-598D-4BD2-ADF6-814D2EA68F5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Employee">
  <location ref="U3:V7" firstHeaderRow="1" firstDataRow="1"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showAll="0">
      <items count="9">
        <item x="3"/>
        <item x="0"/>
        <item x="1"/>
        <item x="7"/>
        <item x="6"/>
        <item x="4"/>
        <item x="2"/>
        <item x="5"/>
        <item t="default"/>
      </items>
    </pivotField>
    <pivotField showAll="0">
      <items count="13">
        <item x="0"/>
        <item x="1"/>
        <item x="2"/>
        <item x="3"/>
        <item x="4"/>
        <item x="5"/>
        <item x="6"/>
        <item x="7"/>
        <item x="8"/>
        <item x="9"/>
        <item x="10"/>
        <item x="11"/>
        <item t="default"/>
      </items>
    </pivotField>
    <pivotField showAll="0">
      <items count="4">
        <item x="0"/>
        <item x="2"/>
        <item x="1"/>
        <item t="default"/>
      </items>
    </pivotField>
    <pivotField axis="axisRow" showAll="0">
      <items count="4">
        <item x="0"/>
        <item x="2"/>
        <item x="1"/>
        <item t="default"/>
      </items>
    </pivotField>
    <pivotField dataField="1" showAll="0"/>
    <pivotField showAll="0"/>
    <pivotField showAll="0"/>
    <pivotField showAll="0">
      <items count="6">
        <item x="3"/>
        <item x="1"/>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6"/>
  </rowFields>
  <rowItems count="4">
    <i>
      <x/>
    </i>
    <i>
      <x v="1"/>
    </i>
    <i>
      <x v="2"/>
    </i>
    <i t="grand">
      <x/>
    </i>
  </rowItems>
  <colItems count="1">
    <i/>
  </colItems>
  <dataFields count="1">
    <dataField name="Count of Units Sold" fld="7" subtotal="count" baseField="6" baseItem="0"/>
  </dataFields>
  <formats count="1">
    <format dxfId="53">
      <pivotArea grandRow="1" outline="0" collapsedLevelsAreSubtotals="1"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6" count="1" selected="0">
            <x v="0"/>
          </reference>
        </references>
      </pivotArea>
    </chartFormat>
    <chartFormat chart="11" format="7">
      <pivotArea type="data" outline="0" fieldPosition="0">
        <references count="2">
          <reference field="4294967294" count="1" selected="0">
            <x v="0"/>
          </reference>
          <reference field="6" count="1" selected="0">
            <x v="1"/>
          </reference>
        </references>
      </pivotArea>
    </chartFormat>
    <chartFormat chart="11"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C2E94-A029-4BB8-BEF2-DF1D83BFE13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mployee">
  <location ref="P3:Q12" firstHeaderRow="1" firstDataRow="1"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axis="axisRow" showAll="0">
      <items count="9">
        <item x="7"/>
        <item x="4"/>
        <item x="6"/>
        <item x="5"/>
        <item x="3"/>
        <item x="2"/>
        <item x="0"/>
        <item x="1"/>
        <item t="default"/>
      </items>
    </pivotField>
    <pivotField showAll="0">
      <items count="9">
        <item x="3"/>
        <item x="0"/>
        <item x="1"/>
        <item x="7"/>
        <item x="6"/>
        <item x="4"/>
        <item x="2"/>
        <item x="5"/>
        <item t="default"/>
      </items>
    </pivotField>
    <pivotField showAll="0">
      <items count="13">
        <item x="0"/>
        <item x="1"/>
        <item x="2"/>
        <item x="3"/>
        <item x="4"/>
        <item x="5"/>
        <item x="6"/>
        <item x="7"/>
        <item x="8"/>
        <item x="9"/>
        <item x="10"/>
        <item x="11"/>
        <item t="default"/>
      </items>
    </pivotField>
    <pivotField showAll="0">
      <items count="4">
        <item x="0"/>
        <item x="2"/>
        <item x="1"/>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2"/>
  </rowFields>
  <rowItems count="9">
    <i>
      <x/>
    </i>
    <i>
      <x v="1"/>
    </i>
    <i>
      <x v="2"/>
    </i>
    <i>
      <x v="3"/>
    </i>
    <i>
      <x v="4"/>
    </i>
    <i>
      <x v="5"/>
    </i>
    <i>
      <x v="6"/>
    </i>
    <i>
      <x v="7"/>
    </i>
    <i t="grand">
      <x/>
    </i>
  </rowItems>
  <colItems count="1">
    <i/>
  </colItems>
  <dataFields count="1">
    <dataField name="Sum of Units Sold" fld="7" baseField="2" baseItem="3"/>
  </dataFields>
  <formats count="1">
    <format dxfId="54">
      <pivotArea grandRow="1"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D746C-A7A4-4351-BA08-9F3085EE613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Employee">
  <location ref="J4:K13" firstHeaderRow="1" firstDataRow="1" firstDataCol="1" rowPageCount="2" colPageCount="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axis="axisRow" showAll="0">
      <items count="9">
        <item x="7"/>
        <item x="4"/>
        <item x="6"/>
        <item x="5"/>
        <item x="3"/>
        <item x="2"/>
        <item x="0"/>
        <item x="1"/>
        <item t="default"/>
      </items>
    </pivotField>
    <pivotField showAll="0">
      <items count="9">
        <item x="3"/>
        <item x="0"/>
        <item x="1"/>
        <item x="7"/>
        <item x="6"/>
        <item x="4"/>
        <item x="2"/>
        <item x="5"/>
        <item t="default"/>
      </items>
    </pivotField>
    <pivotField axis="axisPage" showAll="0">
      <items count="13">
        <item x="0"/>
        <item x="1"/>
        <item x="2"/>
        <item x="3"/>
        <item x="4"/>
        <item x="5"/>
        <item x="6"/>
        <item x="7"/>
        <item x="8"/>
        <item x="9"/>
        <item x="10"/>
        <item x="11"/>
        <item t="default"/>
      </items>
    </pivotField>
    <pivotField axis="axisPage" showAll="0">
      <items count="4">
        <item x="0"/>
        <item x="2"/>
        <item x="1"/>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2"/>
  </rowFields>
  <rowItems count="9">
    <i>
      <x/>
    </i>
    <i>
      <x v="1"/>
    </i>
    <i>
      <x v="2"/>
    </i>
    <i>
      <x v="3"/>
    </i>
    <i>
      <x v="4"/>
    </i>
    <i>
      <x v="5"/>
    </i>
    <i>
      <x v="6"/>
    </i>
    <i>
      <x v="7"/>
    </i>
    <i t="grand">
      <x/>
    </i>
  </rowItems>
  <colItems count="1">
    <i/>
  </colItems>
  <pageFields count="2">
    <pageField fld="4" hier="-1"/>
    <pageField fld="5" hier="-1"/>
  </pageFields>
  <dataFields count="1">
    <dataField name="Average of Units Sold" fld="7" subtotal="average" baseField="2" baseItem="6"/>
  </dataFields>
  <formats count="1">
    <format dxfId="55">
      <pivotArea grandRow="1" outline="0" collapsedLevelsAreSubtotals="1" fieldPosition="0"/>
    </format>
  </formats>
  <chartFormats count="9">
    <chartFormat chart="8" format="10"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2" count="1" selected="0">
            <x v="0"/>
          </reference>
        </references>
      </pivotArea>
    </chartFormat>
    <chartFormat chart="8" format="20">
      <pivotArea type="data" outline="0" fieldPosition="0">
        <references count="2">
          <reference field="4294967294" count="1" selected="0">
            <x v="0"/>
          </reference>
          <reference field="2" count="1" selected="0">
            <x v="1"/>
          </reference>
        </references>
      </pivotArea>
    </chartFormat>
    <chartFormat chart="8" format="21">
      <pivotArea type="data" outline="0" fieldPosition="0">
        <references count="2">
          <reference field="4294967294" count="1" selected="0">
            <x v="0"/>
          </reference>
          <reference field="2" count="1" selected="0">
            <x v="2"/>
          </reference>
        </references>
      </pivotArea>
    </chartFormat>
    <chartFormat chart="8" format="22">
      <pivotArea type="data" outline="0" fieldPosition="0">
        <references count="2">
          <reference field="4294967294" count="1" selected="0">
            <x v="0"/>
          </reference>
          <reference field="2" count="1" selected="0">
            <x v="3"/>
          </reference>
        </references>
      </pivotArea>
    </chartFormat>
    <chartFormat chart="8" format="23">
      <pivotArea type="data" outline="0" fieldPosition="0">
        <references count="2">
          <reference field="4294967294" count="1" selected="0">
            <x v="0"/>
          </reference>
          <reference field="2" count="1" selected="0">
            <x v="4"/>
          </reference>
        </references>
      </pivotArea>
    </chartFormat>
    <chartFormat chart="8" format="24">
      <pivotArea type="data" outline="0" fieldPosition="0">
        <references count="2">
          <reference field="4294967294" count="1" selected="0">
            <x v="0"/>
          </reference>
          <reference field="2" count="1" selected="0">
            <x v="5"/>
          </reference>
        </references>
      </pivotArea>
    </chartFormat>
    <chartFormat chart="8" format="25">
      <pivotArea type="data" outline="0" fieldPosition="0">
        <references count="2">
          <reference field="4294967294" count="1" selected="0">
            <x v="0"/>
          </reference>
          <reference field="2" count="1" selected="0">
            <x v="6"/>
          </reference>
        </references>
      </pivotArea>
    </chartFormat>
    <chartFormat chart="8" format="2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90D5FB-6251-4B66-A02C-D8D05898B30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colHeaderCaption="Product">
  <location ref="A3:G8" firstHeaderRow="1" firstDataRow="2"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showAll="0"/>
    <pivotField showAll="0">
      <items count="13">
        <item x="0"/>
        <item x="1"/>
        <item x="2"/>
        <item x="3"/>
        <item x="4"/>
        <item x="5"/>
        <item x="6"/>
        <item x="7"/>
        <item x="8"/>
        <item x="9"/>
        <item x="10"/>
        <item x="11"/>
        <item t="default"/>
      </items>
    </pivotField>
    <pivotField showAll="0"/>
    <pivotField axis="axisRow" showAll="0">
      <items count="4">
        <item x="0"/>
        <item x="2"/>
        <item x="1"/>
        <item t="default"/>
      </items>
    </pivotField>
    <pivotField showAll="0"/>
    <pivotField dataField="1" showAll="0"/>
    <pivotField showAll="0"/>
    <pivotField axis="axisCol" showAll="0">
      <items count="6">
        <item x="3"/>
        <item x="1"/>
        <item x="2"/>
        <item x="0"/>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6"/>
  </rowFields>
  <rowItems count="4">
    <i>
      <x/>
    </i>
    <i>
      <x v="1"/>
    </i>
    <i>
      <x v="2"/>
    </i>
    <i t="grand">
      <x/>
    </i>
  </rowItems>
  <colFields count="1">
    <field x="10"/>
  </colFields>
  <colItems count="6">
    <i>
      <x/>
    </i>
    <i>
      <x v="1"/>
    </i>
    <i>
      <x v="2"/>
    </i>
    <i>
      <x v="3"/>
    </i>
    <i>
      <x v="4"/>
    </i>
    <i t="grand">
      <x/>
    </i>
  </colItems>
  <dataFields count="1">
    <dataField name="Total  Revenue" fld="8" baseField="0" baseItem="0"/>
  </dataFields>
  <chartFormats count="21">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10" count="1" selected="0">
            <x v="3"/>
          </reference>
        </references>
      </pivotArea>
    </chartFormat>
    <chartFormat chart="4" format="4" series="1">
      <pivotArea type="data" outline="0" fieldPosition="0">
        <references count="2">
          <reference field="4294967294" count="1" selected="0">
            <x v="0"/>
          </reference>
          <reference field="10" count="1" selected="0">
            <x v="4"/>
          </reference>
        </references>
      </pivotArea>
    </chartFormat>
    <chartFormat chart="4" format="5" series="1">
      <pivotArea type="data" outline="0" fieldPosition="0">
        <references count="2">
          <reference field="4294967294" count="1" selected="0">
            <x v="0"/>
          </reference>
          <reference field="10" count="1" selected="0">
            <x v="0"/>
          </reference>
        </references>
      </pivotArea>
    </chartFormat>
    <chartFormat chart="4" format="6" series="1">
      <pivotArea type="data" outline="0" fieldPosition="0">
        <references count="2">
          <reference field="4294967294" count="1" selected="0">
            <x v="0"/>
          </reference>
          <reference field="10" count="1" selected="0">
            <x v="1"/>
          </reference>
        </references>
      </pivotArea>
    </chartFormat>
    <chartFormat chart="4" format="7" series="1">
      <pivotArea type="data" outline="0" fieldPosition="0">
        <references count="2">
          <reference field="4294967294" count="1" selected="0">
            <x v="0"/>
          </reference>
          <reference field="10" count="1" selected="0">
            <x v="2"/>
          </reference>
        </references>
      </pivotArea>
    </chartFormat>
    <chartFormat chart="10" format="8" series="1">
      <pivotArea type="data" outline="0" fieldPosition="0">
        <references count="2">
          <reference field="4294967294" count="1" selected="0">
            <x v="0"/>
          </reference>
          <reference field="10" count="1" selected="0">
            <x v="0"/>
          </reference>
        </references>
      </pivotArea>
    </chartFormat>
    <chartFormat chart="10" format="9" series="1">
      <pivotArea type="data" outline="0" fieldPosition="0">
        <references count="2">
          <reference field="4294967294" count="1" selected="0">
            <x v="0"/>
          </reference>
          <reference field="10" count="1" selected="0">
            <x v="1"/>
          </reference>
        </references>
      </pivotArea>
    </chartFormat>
    <chartFormat chart="10" format="10" series="1">
      <pivotArea type="data" outline="0" fieldPosition="0">
        <references count="2">
          <reference field="4294967294" count="1" selected="0">
            <x v="0"/>
          </reference>
          <reference field="10" count="1" selected="0">
            <x v="2"/>
          </reference>
        </references>
      </pivotArea>
    </chartFormat>
    <chartFormat chart="10" format="11" series="1">
      <pivotArea type="data" outline="0" fieldPosition="0">
        <references count="2">
          <reference field="4294967294" count="1" selected="0">
            <x v="0"/>
          </reference>
          <reference field="10" count="1" selected="0">
            <x v="3"/>
          </reference>
        </references>
      </pivotArea>
    </chartFormat>
    <chartFormat chart="10" format="12" series="1">
      <pivotArea type="data" outline="0" fieldPosition="0">
        <references count="2">
          <reference field="4294967294" count="1" selected="0">
            <x v="0"/>
          </reference>
          <reference field="10" count="1" selected="0">
            <x v="4"/>
          </reference>
        </references>
      </pivotArea>
    </chartFormat>
    <chartFormat chart="11" format="13" series="1">
      <pivotArea type="data" outline="0" fieldPosition="0">
        <references count="2">
          <reference field="4294967294" count="1" selected="0">
            <x v="0"/>
          </reference>
          <reference field="10" count="1" selected="0">
            <x v="0"/>
          </reference>
        </references>
      </pivotArea>
    </chartFormat>
    <chartFormat chart="11" format="14" series="1">
      <pivotArea type="data" outline="0" fieldPosition="0">
        <references count="2">
          <reference field="4294967294" count="1" selected="0">
            <x v="0"/>
          </reference>
          <reference field="10" count="1" selected="0">
            <x v="1"/>
          </reference>
        </references>
      </pivotArea>
    </chartFormat>
    <chartFormat chart="11" format="15" series="1">
      <pivotArea type="data" outline="0" fieldPosition="0">
        <references count="2">
          <reference field="4294967294" count="1" selected="0">
            <x v="0"/>
          </reference>
          <reference field="10" count="1" selected="0">
            <x v="2"/>
          </reference>
        </references>
      </pivotArea>
    </chartFormat>
    <chartFormat chart="11" format="16" series="1">
      <pivotArea type="data" outline="0" fieldPosition="0">
        <references count="2">
          <reference field="4294967294" count="1" selected="0">
            <x v="0"/>
          </reference>
          <reference field="10" count="1" selected="0">
            <x v="3"/>
          </reference>
        </references>
      </pivotArea>
    </chartFormat>
    <chartFormat chart="11" format="17" series="1">
      <pivotArea type="data" outline="0" fieldPosition="0">
        <references count="2">
          <reference field="4294967294" count="1" selected="0">
            <x v="0"/>
          </reference>
          <reference field="10" count="1" selected="0">
            <x v="4"/>
          </reference>
        </references>
      </pivotArea>
    </chartFormat>
    <chartFormat chart="11" format="18"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6E6AC-4641-46FB-8575-1746A6574B2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5">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pivotField axis="axisRow" showAll="0">
      <items count="9">
        <item x="3"/>
        <item x="0"/>
        <item x="1"/>
        <item x="7"/>
        <item x="6"/>
        <item x="4"/>
        <item x="2"/>
        <item x="5"/>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s>
  <rowFields count="1">
    <field x="3"/>
  </rowFields>
  <rowItems count="9">
    <i>
      <x/>
    </i>
    <i>
      <x v="1"/>
    </i>
    <i>
      <x v="2"/>
    </i>
    <i>
      <x v="3"/>
    </i>
    <i>
      <x v="4"/>
    </i>
    <i>
      <x v="5"/>
    </i>
    <i>
      <x v="6"/>
    </i>
    <i>
      <x v="7"/>
    </i>
    <i t="grand">
      <x/>
    </i>
  </rowItems>
  <colItems count="1">
    <i/>
  </colItems>
  <dataFields count="1">
    <dataField name="Sum of Bonus"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2BD2C-DB61-44DC-B6E2-2BDC178F23B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5">
    <pivotField showAll="0"/>
    <pivotField axis="axisRow" numFmtId="14" showAll="0">
      <items count="81">
        <item sd="0" x="51"/>
        <item sd="0" x="24"/>
        <item sd="0" x="62"/>
        <item sd="0" x="48"/>
        <item sd="0" x="3"/>
        <item sd="0" x="40"/>
        <item sd="0" x="47"/>
        <item sd="0" x="14"/>
        <item sd="0" x="27"/>
        <item sd="0" x="73"/>
        <item sd="0" x="72"/>
        <item sd="0" x="0"/>
        <item sd="0" x="12"/>
        <item sd="0" x="11"/>
        <item sd="0" x="49"/>
        <item sd="0" x="60"/>
        <item sd="0" x="28"/>
        <item sd="0" x="79"/>
        <item sd="0" x="6"/>
        <item sd="0" x="53"/>
        <item sd="0" x="18"/>
        <item sd="0" x="56"/>
        <item sd="0" x="9"/>
        <item sd="0" x="2"/>
        <item sd="0" x="52"/>
        <item sd="0" x="46"/>
        <item sd="0" x="57"/>
        <item sd="0" x="30"/>
        <item sd="0" x="63"/>
        <item sd="0" x="22"/>
        <item sd="0" x="75"/>
        <item sd="0" x="42"/>
        <item sd="0" x="29"/>
        <item sd="0" x="71"/>
        <item sd="0" x="15"/>
        <item sd="0" x="59"/>
        <item sd="0" x="76"/>
        <item sd="0" x="70"/>
        <item sd="0" x="39"/>
        <item sd="0" x="44"/>
        <item sd="0" x="7"/>
        <item sd="0" x="61"/>
        <item sd="0" x="33"/>
        <item sd="0" x="10"/>
        <item sd="0" x="58"/>
        <item sd="0" x="5"/>
        <item sd="0" x="35"/>
        <item sd="0" x="17"/>
        <item sd="0" x="13"/>
        <item sd="0" x="64"/>
        <item sd="0" x="54"/>
        <item sd="0" x="38"/>
        <item sd="0" x="78"/>
        <item sd="0" x="19"/>
        <item sd="0" x="26"/>
        <item sd="0" x="25"/>
        <item sd="0" x="1"/>
        <item sd="0" x="23"/>
        <item sd="0" x="66"/>
        <item sd="0" x="34"/>
        <item sd="0" x="50"/>
        <item sd="0" x="45"/>
        <item sd="0" x="68"/>
        <item sd="0" x="4"/>
        <item sd="0" x="21"/>
        <item sd="0" x="67"/>
        <item sd="0" x="20"/>
        <item sd="0" x="69"/>
        <item sd="0" x="31"/>
        <item sd="0" x="55"/>
        <item sd="0" x="16"/>
        <item sd="0" x="36"/>
        <item sd="0" x="65"/>
        <item sd="0" x="43"/>
        <item sd="0" x="74"/>
        <item sd="0" x="41"/>
        <item sd="0" x="32"/>
        <item sd="0" x="77"/>
        <item sd="0" x="37"/>
        <item sd="0" x="8"/>
        <item t="default" sd="0"/>
      </items>
    </pivotField>
    <pivotField showAll="0"/>
    <pivotField showAll="0"/>
    <pivotField axis="axisRow" showAll="0">
      <items count="13">
        <item x="0"/>
        <item x="1"/>
        <item x="2"/>
        <item x="3"/>
        <item x="4"/>
        <item x="5"/>
        <item x="6"/>
        <item x="7"/>
        <item x="8"/>
        <item x="9"/>
        <item x="10"/>
        <item x="11"/>
        <item t="default"/>
      </items>
    </pivotField>
    <pivotField showAll="0"/>
    <pivotField showAll="0">
      <items count="4">
        <item x="0"/>
        <item x="2"/>
        <item x="1"/>
        <item t="default"/>
      </items>
    </pivotField>
    <pivotField dataField="1" showAll="0"/>
    <pivotField showAll="0"/>
    <pivotField showAll="0"/>
    <pivotField showAll="0"/>
    <pivotField showAll="0"/>
    <pivotField showAll="0"/>
    <pivotField dragToRow="0" dragToCol="0" dragToPage="0" showAll="0" defaultSubtotal="0"/>
    <pivotField axis="axisRow" showAll="0">
      <items count="7">
        <item sd="0" x="0"/>
        <item sd="0" x="1"/>
        <item sd="0" x="2"/>
        <item sd="0" x="3"/>
        <item sd="0" x="4"/>
        <item sd="0" x="5"/>
        <item t="default" sd="0"/>
      </items>
    </pivotField>
  </pivotFields>
  <rowFields count="3">
    <field x="14"/>
    <field x="1"/>
    <field x="4"/>
  </rowFields>
  <rowItems count="5">
    <i>
      <x v="1"/>
    </i>
    <i>
      <x v="2"/>
    </i>
    <i>
      <x v="3"/>
    </i>
    <i>
      <x v="4"/>
    </i>
    <i t="grand">
      <x/>
    </i>
  </rowItems>
  <colItems count="1">
    <i/>
  </colItems>
  <dataFields count="1">
    <dataField name="Sum of Units Sold" fld="7"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2F1120-6675-4F56-A0B9-33A56548D13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AD10" firstHeaderRow="1" firstDataRow="2" firstDataCol="1"/>
  <pivotFields count="17">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axis="axisRow" dataField="1" showAll="0">
      <items count="6">
        <item x="3"/>
        <item x="1"/>
        <item x="2"/>
        <item x="0"/>
        <item x="4"/>
        <item t="default"/>
      </items>
    </pivotField>
    <pivotField showAll="0"/>
    <pivotField showAll="0"/>
    <pivotField showAll="0"/>
    <pivotField axis="axisCol" showAll="0">
      <items count="13">
        <item x="9"/>
        <item x="0"/>
        <item x="10"/>
        <item x="5"/>
        <item x="2"/>
        <item x="8"/>
        <item x="6"/>
        <item x="4"/>
        <item x="11"/>
        <item x="1"/>
        <item x="3"/>
        <item x="7"/>
        <item t="default"/>
      </items>
    </pivotField>
    <pivotField dragToRow="0" dragToCol="0" dragToPage="0" showAll="0" defaultSubtotal="0"/>
    <pivotField showAll="0">
      <items count="7">
        <item sd="0" x="0"/>
        <item sd="0" x="1"/>
        <item sd="0" x="2"/>
        <item sd="0" x="3"/>
        <item sd="0" x="4"/>
        <item sd="0" x="5"/>
        <item t="default"/>
      </items>
    </pivotField>
  </pivotFields>
  <rowFields count="1">
    <field x="10"/>
  </rowFields>
  <rowItems count="6">
    <i>
      <x/>
    </i>
    <i>
      <x v="1"/>
    </i>
    <i>
      <x v="2"/>
    </i>
    <i>
      <x v="3"/>
    </i>
    <i>
      <x v="4"/>
    </i>
    <i t="grand">
      <x/>
    </i>
  </rowItems>
  <colFields count="1">
    <field x="14"/>
  </colFields>
  <colItems count="13">
    <i>
      <x/>
    </i>
    <i>
      <x v="1"/>
    </i>
    <i>
      <x v="2"/>
    </i>
    <i>
      <x v="3"/>
    </i>
    <i>
      <x v="4"/>
    </i>
    <i>
      <x v="5"/>
    </i>
    <i>
      <x v="6"/>
    </i>
    <i>
      <x v="7"/>
    </i>
    <i>
      <x v="8"/>
    </i>
    <i>
      <x v="9"/>
    </i>
    <i>
      <x v="10"/>
    </i>
    <i>
      <x v="11"/>
    </i>
    <i t="grand">
      <x/>
    </i>
  </colItems>
  <dataFields count="1">
    <dataField name="Count of Region2" fld="10" subtotal="count" baseField="0" baseItem="0"/>
  </dataFields>
  <formats count="2">
    <format dxfId="52">
      <pivotArea collapsedLevelsAreSubtotals="1" fieldPosition="0">
        <references count="1">
          <reference field="14" count="0"/>
        </references>
      </pivotArea>
    </format>
    <format dxfId="5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64ACD6-E5B2-4F9C-B0A9-DAA12D23B65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28" firstHeaderRow="1" firstDataRow="1" firstDataCol="1"/>
  <pivotFields count="16">
    <pivotField showAll="0"/>
    <pivotField axis="axisRow"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axis="axisRow" showAll="0">
      <items count="9">
        <item x="7"/>
        <item x="4"/>
        <item x="6"/>
        <item x="5"/>
        <item x="3"/>
        <item x="2"/>
        <item x="0"/>
        <item x="1"/>
        <item t="default"/>
      </items>
    </pivotField>
    <pivotField showAll="0">
      <items count="9">
        <item x="3"/>
        <item x="0"/>
        <item x="1"/>
        <item x="7"/>
        <item x="6"/>
        <item x="4"/>
        <item x="2"/>
        <item x="5"/>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items count="101">
        <item x="83"/>
        <item x="38"/>
        <item x="10"/>
        <item x="31"/>
        <item x="84"/>
        <item x="44"/>
        <item x="22"/>
        <item x="2"/>
        <item x="6"/>
        <item x="86"/>
        <item x="45"/>
        <item x="52"/>
        <item x="78"/>
        <item x="21"/>
        <item x="1"/>
        <item x="88"/>
        <item x="37"/>
        <item x="46"/>
        <item x="0"/>
        <item x="58"/>
        <item x="42"/>
        <item x="79"/>
        <item x="95"/>
        <item x="29"/>
        <item x="19"/>
        <item x="90"/>
        <item x="48"/>
        <item x="65"/>
        <item x="66"/>
        <item x="54"/>
        <item x="50"/>
        <item x="15"/>
        <item x="69"/>
        <item x="81"/>
        <item x="74"/>
        <item x="4"/>
        <item x="53"/>
        <item x="80"/>
        <item x="97"/>
        <item x="72"/>
        <item x="35"/>
        <item x="70"/>
        <item x="39"/>
        <item x="18"/>
        <item x="92"/>
        <item x="59"/>
        <item x="94"/>
        <item x="77"/>
        <item x="30"/>
        <item x="55"/>
        <item x="13"/>
        <item x="17"/>
        <item x="26"/>
        <item x="73"/>
        <item x="60"/>
        <item x="63"/>
        <item x="71"/>
        <item x="40"/>
        <item x="3"/>
        <item x="8"/>
        <item x="89"/>
        <item x="23"/>
        <item x="34"/>
        <item x="24"/>
        <item x="67"/>
        <item x="96"/>
        <item x="5"/>
        <item x="43"/>
        <item x="47"/>
        <item x="7"/>
        <item x="56"/>
        <item x="87"/>
        <item x="82"/>
        <item x="16"/>
        <item x="11"/>
        <item x="76"/>
        <item x="93"/>
        <item x="62"/>
        <item x="75"/>
        <item x="20"/>
        <item x="57"/>
        <item x="85"/>
        <item x="99"/>
        <item x="51"/>
        <item x="49"/>
        <item x="68"/>
        <item x="36"/>
        <item x="28"/>
        <item x="41"/>
        <item x="9"/>
        <item x="91"/>
        <item x="33"/>
        <item x="27"/>
        <item x="25"/>
        <item x="61"/>
        <item x="98"/>
        <item x="32"/>
        <item x="14"/>
        <item x="64"/>
        <item x="12"/>
        <item t="default"/>
      </items>
    </pivotField>
    <pivotField showAll="0"/>
    <pivotField showAll="0"/>
    <pivotField showAll="0"/>
    <pivotField axis="axisRow" showAll="0">
      <items count="3">
        <item x="0"/>
        <item x="1"/>
        <item t="default"/>
      </items>
    </pivotField>
    <pivotField dragToRow="0" dragToCol="0" dragToPage="0" showAll="0" defaultSubtotal="0"/>
    <pivotField dataField="1" showAll="0">
      <items count="7">
        <item sd="0" x="0"/>
        <item sd="0" x="1"/>
        <item sd="0" x="2"/>
        <item sd="0" x="3"/>
        <item sd="0" x="4"/>
        <item sd="0" x="5"/>
        <item t="default"/>
      </items>
    </pivotField>
  </pivotFields>
  <rowFields count="3">
    <field x="2"/>
    <field x="13"/>
    <field x="1"/>
  </rowFields>
  <rowItems count="124">
    <i>
      <x/>
    </i>
    <i r="1">
      <x/>
    </i>
    <i r="2">
      <x v="37"/>
    </i>
    <i r="2">
      <x v="50"/>
    </i>
    <i r="2">
      <x v="51"/>
    </i>
    <i r="2">
      <x v="60"/>
    </i>
    <i r="2">
      <x v="78"/>
    </i>
    <i r="1">
      <x v="1"/>
    </i>
    <i r="2">
      <x v="24"/>
    </i>
    <i r="2">
      <x v="27"/>
    </i>
    <i r="2">
      <x v="34"/>
    </i>
    <i r="2">
      <x v="38"/>
    </i>
    <i r="2">
      <x v="39"/>
    </i>
    <i r="2">
      <x v="43"/>
    </i>
    <i r="2">
      <x v="58"/>
    </i>
    <i r="2">
      <x v="59"/>
    </i>
    <i r="2">
      <x v="70"/>
    </i>
    <i r="2">
      <x v="78"/>
    </i>
    <i>
      <x v="1"/>
    </i>
    <i r="1">
      <x/>
    </i>
    <i r="2">
      <x v="32"/>
    </i>
    <i r="2">
      <x v="48"/>
    </i>
    <i r="1">
      <x v="1"/>
    </i>
    <i r="2">
      <x v="2"/>
    </i>
    <i r="2">
      <x v="7"/>
    </i>
    <i r="2">
      <x v="15"/>
    </i>
    <i r="2">
      <x v="16"/>
    </i>
    <i r="2">
      <x v="18"/>
    </i>
    <i r="2">
      <x v="20"/>
    </i>
    <i r="2">
      <x v="30"/>
    </i>
    <i r="2">
      <x v="31"/>
    </i>
    <i r="2">
      <x v="40"/>
    </i>
    <i r="2">
      <x v="56"/>
    </i>
    <i r="2">
      <x v="69"/>
    </i>
    <i r="2">
      <x v="77"/>
    </i>
    <i>
      <x v="2"/>
    </i>
    <i r="1">
      <x/>
    </i>
    <i r="2">
      <x v="52"/>
    </i>
    <i r="2">
      <x v="54"/>
    </i>
    <i r="2">
      <x v="55"/>
    </i>
    <i r="1">
      <x v="1"/>
    </i>
    <i r="2">
      <x v="8"/>
    </i>
    <i r="2">
      <x v="15"/>
    </i>
    <i r="2">
      <x v="22"/>
    </i>
    <i r="2">
      <x v="26"/>
    </i>
    <i r="2">
      <x v="33"/>
    </i>
    <i r="2">
      <x v="35"/>
    </i>
    <i r="2">
      <x v="44"/>
    </i>
    <i r="2">
      <x v="66"/>
    </i>
    <i r="2">
      <x v="67"/>
    </i>
    <i r="2">
      <x v="69"/>
    </i>
    <i r="2">
      <x v="76"/>
    </i>
    <i r="2">
      <x v="79"/>
    </i>
    <i>
      <x v="3"/>
    </i>
    <i r="1">
      <x/>
    </i>
    <i r="2">
      <x v="14"/>
    </i>
    <i r="2">
      <x v="21"/>
    </i>
    <i r="2">
      <x v="25"/>
    </i>
    <i r="2">
      <x v="36"/>
    </i>
    <i r="2">
      <x v="46"/>
    </i>
    <i r="2">
      <x v="53"/>
    </i>
    <i r="1">
      <x v="1"/>
    </i>
    <i r="2">
      <x v="12"/>
    </i>
    <i r="2">
      <x v="32"/>
    </i>
    <i r="2">
      <x v="57"/>
    </i>
    <i r="2">
      <x v="79"/>
    </i>
    <i>
      <x v="4"/>
    </i>
    <i r="1">
      <x/>
    </i>
    <i r="2">
      <x v="4"/>
    </i>
    <i r="2">
      <x v="47"/>
    </i>
    <i r="2">
      <x v="74"/>
    </i>
    <i r="1">
      <x v="1"/>
    </i>
    <i r="2">
      <x v="2"/>
    </i>
    <i r="2">
      <x v="4"/>
    </i>
    <i r="2">
      <x v="6"/>
    </i>
    <i r="2">
      <x v="18"/>
    </i>
    <i r="2">
      <x v="49"/>
    </i>
    <i r="2">
      <x v="62"/>
    </i>
    <i r="2">
      <x v="64"/>
    </i>
    <i>
      <x v="5"/>
    </i>
    <i r="1">
      <x/>
    </i>
    <i r="2">
      <x v="17"/>
    </i>
    <i r="2">
      <x v="23"/>
    </i>
    <i r="2">
      <x v="41"/>
    </i>
    <i r="2">
      <x v="53"/>
    </i>
    <i r="2">
      <x v="74"/>
    </i>
    <i r="2">
      <x v="75"/>
    </i>
    <i r="1">
      <x v="1"/>
    </i>
    <i r="2">
      <x v="29"/>
    </i>
    <i r="2">
      <x v="42"/>
    </i>
    <i r="2">
      <x v="61"/>
    </i>
    <i r="2">
      <x v="63"/>
    </i>
    <i r="2">
      <x v="65"/>
    </i>
    <i>
      <x v="6"/>
    </i>
    <i r="1">
      <x/>
    </i>
    <i r="2">
      <x v="1"/>
    </i>
    <i r="2">
      <x v="7"/>
    </i>
    <i r="2">
      <x v="11"/>
    </i>
    <i r="2">
      <x v="13"/>
    </i>
    <i r="2">
      <x v="55"/>
    </i>
    <i r="2">
      <x v="68"/>
    </i>
    <i r="1">
      <x v="1"/>
    </i>
    <i r="2">
      <x/>
    </i>
    <i r="2">
      <x v="19"/>
    </i>
    <i r="2">
      <x v="24"/>
    </i>
    <i r="2">
      <x v="64"/>
    </i>
    <i r="2">
      <x v="71"/>
    </i>
    <i r="2">
      <x v="73"/>
    </i>
    <i r="2">
      <x v="75"/>
    </i>
    <i>
      <x v="7"/>
    </i>
    <i r="1">
      <x/>
    </i>
    <i r="2">
      <x v="9"/>
    </i>
    <i r="2">
      <x v="28"/>
    </i>
    <i r="2">
      <x v="45"/>
    </i>
    <i r="2">
      <x v="72"/>
    </i>
    <i r="1">
      <x v="1"/>
    </i>
    <i r="2">
      <x v="2"/>
    </i>
    <i r="2">
      <x v="3"/>
    </i>
    <i r="2">
      <x v="5"/>
    </i>
    <i r="2">
      <x v="10"/>
    </i>
    <i r="2">
      <x v="56"/>
    </i>
    <i r="2">
      <x v="60"/>
    </i>
    <i r="2">
      <x v="76"/>
    </i>
    <i t="grand">
      <x/>
    </i>
  </rowItems>
  <colItems count="1">
    <i/>
  </colItems>
  <dataFields count="1">
    <dataField name="Count of Quarters (Sale Date)"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8BAA8C-E0D5-4B6B-A0FF-A066553BD7F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5">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pivotField showAll="0"/>
    <pivotField showAll="0"/>
    <pivotField axis="axisCol" showAll="0">
      <items count="4">
        <item x="0"/>
        <item x="2"/>
        <item x="1"/>
        <item t="default"/>
      </items>
    </pivotField>
    <pivotField showAll="0"/>
    <pivotField showAll="0"/>
    <pivotField dataField="1" showAll="0"/>
    <pivotField showAll="0"/>
    <pivotField showAll="0"/>
    <pivotField showAll="0"/>
    <pivotField showAll="0"/>
    <pivotField dragToRow="0" dragToCol="0" dragToPage="0" showAll="0" defaultSubtotal="0"/>
    <pivotField axis="axisRow" showAll="0">
      <items count="7">
        <item x="0"/>
        <item x="1"/>
        <item x="2"/>
        <item x="3"/>
        <item x="4"/>
        <item x="5"/>
        <item t="default"/>
      </items>
    </pivotField>
  </pivotFields>
  <rowFields count="1">
    <field x="14"/>
  </rowFields>
  <rowItems count="5">
    <i>
      <x v="1"/>
    </i>
    <i>
      <x v="2"/>
    </i>
    <i>
      <x v="3"/>
    </i>
    <i>
      <x v="4"/>
    </i>
    <i t="grand">
      <x/>
    </i>
  </rowItems>
  <colFields count="1">
    <field x="5"/>
  </colFields>
  <colItems count="4">
    <i>
      <x/>
    </i>
    <i>
      <x v="1"/>
    </i>
    <i>
      <x v="2"/>
    </i>
    <i t="grand">
      <x/>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48C28-246F-4D1B-B033-E1758103744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2" firstHeaderRow="1" firstDataRow="1"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axis="axisRow" showAll="0">
      <items count="9">
        <item x="3"/>
        <item x="0"/>
        <item x="1"/>
        <item x="7"/>
        <item x="6"/>
        <item x="4"/>
        <item x="2"/>
        <item x="5"/>
        <item t="default"/>
      </items>
    </pivotField>
    <pivotField showAll="0">
      <items count="13">
        <item x="0"/>
        <item x="1"/>
        <item x="2"/>
        <item x="3"/>
        <item x="4"/>
        <item x="5"/>
        <item x="6"/>
        <item x="7"/>
        <item x="8"/>
        <item x="9"/>
        <item x="10"/>
        <item x="11"/>
        <item t="default"/>
      </items>
    </pivotField>
    <pivotField showAll="0"/>
    <pivotField showAll="0"/>
    <pivotField dataField="1" showAll="0"/>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2">
    <field x="3"/>
    <field x="8"/>
  </rowFields>
  <rowItems count="39">
    <i>
      <x/>
    </i>
    <i r="1">
      <x v="2"/>
    </i>
    <i r="1">
      <x v="3"/>
    </i>
    <i r="1">
      <x v="4"/>
    </i>
    <i>
      <x v="1"/>
    </i>
    <i r="1">
      <x v="2"/>
    </i>
    <i r="1">
      <x v="3"/>
    </i>
    <i r="1">
      <x v="4"/>
    </i>
    <i r="1">
      <x v="5"/>
    </i>
    <i>
      <x v="2"/>
    </i>
    <i r="1">
      <x v="3"/>
    </i>
    <i r="1">
      <x v="4"/>
    </i>
    <i r="1">
      <x v="5"/>
    </i>
    <i>
      <x v="3"/>
    </i>
    <i r="1">
      <x v="2"/>
    </i>
    <i r="1">
      <x v="3"/>
    </i>
    <i r="1">
      <x v="4"/>
    </i>
    <i>
      <x v="4"/>
    </i>
    <i r="1">
      <x v="2"/>
    </i>
    <i r="1">
      <x v="3"/>
    </i>
    <i r="1">
      <x v="4"/>
    </i>
    <i r="1">
      <x v="5"/>
    </i>
    <i r="1">
      <x v="6"/>
    </i>
    <i>
      <x v="5"/>
    </i>
    <i r="1">
      <x v="2"/>
    </i>
    <i r="1">
      <x v="3"/>
    </i>
    <i r="1">
      <x v="4"/>
    </i>
    <i>
      <x v="6"/>
    </i>
    <i r="1">
      <x v="2"/>
    </i>
    <i r="1">
      <x v="3"/>
    </i>
    <i r="1">
      <x v="4"/>
    </i>
    <i r="1">
      <x v="5"/>
    </i>
    <i>
      <x v="7"/>
    </i>
    <i r="1">
      <x v="2"/>
    </i>
    <i r="1">
      <x v="3"/>
    </i>
    <i r="1">
      <x v="4"/>
    </i>
    <i r="1">
      <x v="5"/>
    </i>
    <i r="1">
      <x v="6"/>
    </i>
    <i t="grand">
      <x/>
    </i>
  </rowItems>
  <colItems count="1">
    <i/>
  </colItems>
  <dataFields count="1">
    <dataField name="Sum of Units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471658-D7CE-4C01-910A-660B4FA130E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4">
    <pivotField dataField="1"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showAll="0"/>
    <pivotField showAll="0">
      <items count="13">
        <item x="0"/>
        <item x="1"/>
        <item x="2"/>
        <item x="3"/>
        <item x="4"/>
        <item x="5"/>
        <item x="6"/>
        <item x="7"/>
        <item x="8"/>
        <item x="9"/>
        <item x="10"/>
        <item x="11"/>
        <item t="default"/>
      </items>
    </pivotField>
    <pivotField axis="axisRow" showAll="0">
      <items count="4">
        <item x="0"/>
        <item x="2"/>
        <item x="1"/>
        <item t="default"/>
      </items>
    </pivotField>
    <pivotField showAll="0"/>
    <pivotField showAll="0"/>
    <pivotField showAll="0">
      <items count="18">
        <item x="0"/>
        <item x="1"/>
        <item x="2"/>
        <item x="3"/>
        <item x="4"/>
        <item x="5"/>
        <item x="6"/>
        <item x="7"/>
        <item x="8"/>
        <item x="9"/>
        <item x="10"/>
        <item x="11"/>
        <item x="12"/>
        <item x="13"/>
        <item x="14"/>
        <item x="15"/>
        <item x="16"/>
        <item t="default"/>
      </items>
    </pivotField>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5"/>
    <field x="12"/>
  </rowFields>
  <rowItems count="15">
    <i>
      <x/>
    </i>
    <i r="1">
      <x v="1"/>
    </i>
    <i r="1">
      <x v="2"/>
    </i>
    <i r="1">
      <x v="3"/>
    </i>
    <i r="1">
      <x v="4"/>
    </i>
    <i>
      <x v="1"/>
    </i>
    <i r="1">
      <x v="2"/>
    </i>
    <i r="1">
      <x v="3"/>
    </i>
    <i r="1">
      <x v="4"/>
    </i>
    <i>
      <x v="2"/>
    </i>
    <i r="1">
      <x v="1"/>
    </i>
    <i r="1">
      <x v="2"/>
    </i>
    <i r="1">
      <x v="3"/>
    </i>
    <i r="1">
      <x v="4"/>
    </i>
    <i t="grand">
      <x/>
    </i>
  </rowItems>
  <colItems count="1">
    <i/>
  </colItems>
  <dataFields count="1">
    <dataField name="Count of Transaction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98B348-033F-4468-9138-8FCC9D561B18}"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S8" firstHeaderRow="1" firstDataRow="1"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axis="axisRow" showAll="0" sortType="ascending">
      <items count="6">
        <item x="3"/>
        <item x="1"/>
        <item x="2"/>
        <item x="0"/>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6">
        <item x="0"/>
        <item x="1"/>
        <item x="2"/>
        <item x="3"/>
        <item x="4"/>
        <item x="5"/>
      </items>
    </pivotField>
    <pivotField dragToRow="0" dragToCol="0" dragToPage="0" showAll="0" defaultSubtotal="0"/>
  </pivotFields>
  <rowFields count="1">
    <field x="10"/>
  </rowFields>
  <rowItems count="6">
    <i>
      <x v="4"/>
    </i>
    <i>
      <x/>
    </i>
    <i>
      <x v="2"/>
    </i>
    <i>
      <x v="1"/>
    </i>
    <i>
      <x v="3"/>
    </i>
    <i t="grand">
      <x/>
    </i>
  </rowItems>
  <colItems count="1">
    <i/>
  </colItems>
  <dataFields count="1">
    <dataField name="Sum of Revenue" fld="8" baseField="3" baseItem="6"/>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CC6A54-38BF-44CF-88B0-F05504BED5B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11" firstHeaderRow="1" firstDataRow="1" firstDataCol="1"/>
  <pivotFields count="14">
    <pivotField showAll="0"/>
    <pivotField numFmtId="14" showAll="0">
      <items count="81">
        <item x="51"/>
        <item x="24"/>
        <item x="62"/>
        <item x="48"/>
        <item x="3"/>
        <item x="40"/>
        <item x="47"/>
        <item x="14"/>
        <item x="27"/>
        <item x="73"/>
        <item x="72"/>
        <item x="0"/>
        <item x="12"/>
        <item x="11"/>
        <item x="49"/>
        <item x="60"/>
        <item x="28"/>
        <item x="79"/>
        <item x="6"/>
        <item x="53"/>
        <item x="18"/>
        <item x="56"/>
        <item x="9"/>
        <item x="2"/>
        <item x="52"/>
        <item x="46"/>
        <item x="57"/>
        <item x="30"/>
        <item x="63"/>
        <item x="22"/>
        <item x="75"/>
        <item x="42"/>
        <item x="29"/>
        <item x="71"/>
        <item x="15"/>
        <item x="59"/>
        <item x="76"/>
        <item x="70"/>
        <item x="39"/>
        <item x="44"/>
        <item x="7"/>
        <item x="61"/>
        <item x="33"/>
        <item x="10"/>
        <item x="58"/>
        <item x="5"/>
        <item x="35"/>
        <item x="17"/>
        <item x="13"/>
        <item x="64"/>
        <item x="54"/>
        <item x="38"/>
        <item x="78"/>
        <item x="19"/>
        <item x="26"/>
        <item x="25"/>
        <item x="1"/>
        <item x="23"/>
        <item x="66"/>
        <item x="34"/>
        <item x="50"/>
        <item x="45"/>
        <item x="68"/>
        <item x="4"/>
        <item x="21"/>
        <item x="67"/>
        <item x="20"/>
        <item x="69"/>
        <item x="31"/>
        <item x="55"/>
        <item x="16"/>
        <item x="36"/>
        <item x="65"/>
        <item x="43"/>
        <item x="74"/>
        <item x="41"/>
        <item x="32"/>
        <item x="77"/>
        <item x="37"/>
        <item x="8"/>
        <item t="default"/>
      </items>
    </pivotField>
    <pivotField showAll="0">
      <items count="9">
        <item x="7"/>
        <item x="4"/>
        <item x="6"/>
        <item x="5"/>
        <item x="3"/>
        <item x="2"/>
        <item x="0"/>
        <item x="1"/>
        <item t="default"/>
      </items>
    </pivotField>
    <pivotField axis="axisRow" showAll="0" measureFilter="1" sortType="descending">
      <items count="9">
        <item x="3"/>
        <item x="0"/>
        <item x="1"/>
        <item x="7"/>
        <item x="6"/>
        <item x="4"/>
        <item x="2"/>
        <item x="5"/>
        <item t="default"/>
      </items>
      <autoSortScope>
        <pivotArea dataOnly="0" outline="0" fieldPosition="0">
          <references count="1">
            <reference field="4294967294" count="1" selected="0">
              <x v="0"/>
            </reference>
          </references>
        </pivotArea>
      </autoSortScope>
    </pivotField>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3"/>
  </rowFields>
  <rowItems count="9">
    <i>
      <x v="4"/>
    </i>
    <i>
      <x v="1"/>
    </i>
    <i>
      <x v="5"/>
    </i>
    <i>
      <x v="3"/>
    </i>
    <i>
      <x v="2"/>
    </i>
    <i>
      <x v="6"/>
    </i>
    <i>
      <x v="7"/>
    </i>
    <i>
      <x/>
    </i>
    <i t="grand">
      <x/>
    </i>
  </rowItems>
  <colItems count="1">
    <i/>
  </colItems>
  <dataFields count="1">
    <dataField name="Sum of Revenue" fld="8" baseField="3" baseItem="6"/>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8C0C968-35FE-46A0-8A71-9824A7E8E2BB}" sourceName="Month">
  <pivotTables>
    <pivotTable tabId="4" name="PivotTable5"/>
    <pivotTable tabId="4" name="PivotTable6"/>
    <pivotTable tabId="6" name="PivotTable10"/>
    <pivotTable tabId="6" name="PivotTable11"/>
    <pivotTable tabId="6" name="PivotTable7"/>
    <pivotTable tabId="6" name="PivotTable8"/>
    <pivotTable tabId="4" name="PivotTable1"/>
    <pivotTable tabId="4" name="PivotTable4"/>
  </pivotTables>
  <data>
    <tabular pivotCacheId="196313638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3DA2DCFA-32E3-4071-BE63-DECAB0B7A9B2}" sourceName="Employee Name">
  <pivotTables>
    <pivotTable tabId="4" name="PivotTable5"/>
    <pivotTable tabId="4" name="PivotTable6"/>
    <pivotTable tabId="6" name="PivotTable10"/>
    <pivotTable tabId="6" name="PivotTable11"/>
    <pivotTable tabId="6" name="PivotTable7"/>
    <pivotTable tabId="6" name="PivotTable8"/>
    <pivotTable tabId="4" name="PivotTable1"/>
    <pivotTable tabId="4" name="PivotTable4"/>
  </pivotTables>
  <data>
    <tabular pivotCacheId="1963136387">
      <items count="8">
        <i x="7" s="1"/>
        <i x="4" s="1"/>
        <i x="6" s="1"/>
        <i x="5"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FC8BFBA-23DA-4B9E-A349-77CE9727F46F}" cache="Slicer_Month" caption="Month" style="SlicerStyleDark4" rowHeight="241300"/>
  <slicer name="Employee Name" xr10:uid="{280E1B22-7304-4DAB-970F-1EF6C0EFFC0F}" cache="Slicer_Employee_Name" caption="Employee Name" style="SlicerStyleDark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rinterSettings" Target="../printerSettings/printerSettings10.bin"/><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4E9C-5BD9-4EE6-85CF-F9CD68D2AB84}">
  <sheetPr>
    <tabColor rgb="FFFFC000"/>
  </sheetPr>
  <dimension ref="A1:V14"/>
  <sheetViews>
    <sheetView workbookViewId="0">
      <selection activeCell="E16" sqref="E16"/>
    </sheetView>
  </sheetViews>
  <sheetFormatPr defaultRowHeight="14.5" x14ac:dyDescent="0.35"/>
  <cols>
    <col min="1" max="1" width="13.26953125" bestFit="1" customWidth="1"/>
    <col min="2" max="2" width="9.7265625" bestFit="1" customWidth="1"/>
    <col min="3" max="5" width="7.81640625" bestFit="1" customWidth="1"/>
    <col min="6" max="6" width="6.81640625" bestFit="1" customWidth="1"/>
    <col min="7" max="7" width="10.7265625" bestFit="1" customWidth="1"/>
    <col min="8" max="8" width="18.08984375" bestFit="1" customWidth="1"/>
    <col min="9" max="9" width="20.36328125" bestFit="1" customWidth="1"/>
    <col min="10" max="10" width="13.81640625" bestFit="1" customWidth="1"/>
    <col min="11" max="11" width="18.7265625" bestFit="1" customWidth="1"/>
    <col min="12" max="12" width="8.6328125" bestFit="1" customWidth="1"/>
    <col min="13" max="13" width="9.453125" bestFit="1" customWidth="1"/>
    <col min="14" max="14" width="10.90625" bestFit="1" customWidth="1"/>
    <col min="15" max="15" width="6.453125" bestFit="1" customWidth="1"/>
    <col min="16" max="16" width="13.81640625" bestFit="1" customWidth="1"/>
    <col min="17" max="17" width="15.54296875" bestFit="1" customWidth="1"/>
    <col min="21" max="21" width="11.26953125" bestFit="1" customWidth="1"/>
    <col min="22" max="22" width="17.08984375" bestFit="1" customWidth="1"/>
    <col min="23" max="23" width="8.6328125" bestFit="1" customWidth="1"/>
    <col min="24" max="24" width="9.453125" bestFit="1" customWidth="1"/>
    <col min="25" max="25" width="10.7265625" bestFit="1" customWidth="1"/>
    <col min="26" max="26" width="9.81640625" bestFit="1" customWidth="1"/>
    <col min="27" max="27" width="8.6328125" bestFit="1" customWidth="1"/>
    <col min="28" max="28" width="9.453125" bestFit="1" customWidth="1"/>
    <col min="29" max="29" width="9.08984375" bestFit="1" customWidth="1"/>
    <col min="30" max="30" width="9.81640625" bestFit="1" customWidth="1"/>
    <col min="31" max="31" width="8.6328125" bestFit="1" customWidth="1"/>
    <col min="32" max="32" width="9.453125" bestFit="1" customWidth="1"/>
    <col min="33" max="33" width="10.453125" bestFit="1" customWidth="1"/>
    <col min="34" max="34" width="9.81640625" bestFit="1" customWidth="1"/>
    <col min="35" max="35" width="8.6328125" bestFit="1" customWidth="1"/>
    <col min="36" max="36" width="9.453125" bestFit="1" customWidth="1"/>
    <col min="37" max="37" width="10.453125" bestFit="1" customWidth="1"/>
    <col min="38" max="38" width="9.81640625" bestFit="1" customWidth="1"/>
    <col min="39" max="39" width="8.6328125" bestFit="1" customWidth="1"/>
    <col min="40" max="40" width="9.453125" bestFit="1" customWidth="1"/>
    <col min="41" max="41" width="9.90625" bestFit="1" customWidth="1"/>
    <col min="42" max="42" width="10.7265625" bestFit="1" customWidth="1"/>
  </cols>
  <sheetData>
    <row r="1" spans="1:22" x14ac:dyDescent="0.35">
      <c r="J1" s="17" t="s">
        <v>49</v>
      </c>
      <c r="K1" t="s">
        <v>78</v>
      </c>
    </row>
    <row r="2" spans="1:22" x14ac:dyDescent="0.35">
      <c r="J2" s="17" t="s">
        <v>1</v>
      </c>
      <c r="K2" t="s">
        <v>78</v>
      </c>
    </row>
    <row r="3" spans="1:22" x14ac:dyDescent="0.35">
      <c r="A3" s="17" t="s">
        <v>76</v>
      </c>
      <c r="B3" s="17" t="s">
        <v>77</v>
      </c>
      <c r="P3" s="17" t="s">
        <v>73</v>
      </c>
      <c r="Q3" t="s">
        <v>74</v>
      </c>
      <c r="U3" s="17" t="s">
        <v>73</v>
      </c>
      <c r="V3" t="s">
        <v>120</v>
      </c>
    </row>
    <row r="4" spans="1:22" x14ac:dyDescent="0.35">
      <c r="A4" s="17" t="s">
        <v>3</v>
      </c>
      <c r="B4" t="s">
        <v>34</v>
      </c>
      <c r="C4" t="s">
        <v>22</v>
      </c>
      <c r="D4" t="s">
        <v>10</v>
      </c>
      <c r="E4" t="s">
        <v>17</v>
      </c>
      <c r="F4" t="s">
        <v>29</v>
      </c>
      <c r="G4" t="s">
        <v>71</v>
      </c>
      <c r="J4" s="17" t="s">
        <v>73</v>
      </c>
      <c r="K4" t="s">
        <v>75</v>
      </c>
      <c r="P4" s="18" t="s">
        <v>26</v>
      </c>
      <c r="Q4" s="20">
        <v>516</v>
      </c>
      <c r="U4" s="18" t="s">
        <v>55</v>
      </c>
      <c r="V4" s="20">
        <v>41</v>
      </c>
    </row>
    <row r="5" spans="1:22" x14ac:dyDescent="0.35">
      <c r="A5" s="18" t="s">
        <v>55</v>
      </c>
      <c r="B5" s="20">
        <v>566781</v>
      </c>
      <c r="C5" s="20">
        <v>320173</v>
      </c>
      <c r="D5" s="20">
        <v>418352</v>
      </c>
      <c r="E5" s="20">
        <v>576603</v>
      </c>
      <c r="F5" s="20">
        <v>355817</v>
      </c>
      <c r="G5" s="20">
        <v>2237726</v>
      </c>
      <c r="J5" s="18" t="s">
        <v>26</v>
      </c>
      <c r="K5" s="20">
        <v>34.4</v>
      </c>
      <c r="P5" s="18" t="s">
        <v>37</v>
      </c>
      <c r="Q5" s="20">
        <v>517</v>
      </c>
      <c r="U5" s="18" t="s">
        <v>57</v>
      </c>
      <c r="V5" s="20">
        <v>24</v>
      </c>
    </row>
    <row r="6" spans="1:22" x14ac:dyDescent="0.35">
      <c r="A6" s="18" t="s">
        <v>57</v>
      </c>
      <c r="B6" s="20">
        <v>218758</v>
      </c>
      <c r="C6" s="20">
        <v>461903</v>
      </c>
      <c r="D6" s="20">
        <v>129402</v>
      </c>
      <c r="E6" s="20">
        <v>467469</v>
      </c>
      <c r="F6" s="20">
        <v>141979</v>
      </c>
      <c r="G6" s="20">
        <v>1419511</v>
      </c>
      <c r="J6" s="18" t="s">
        <v>37</v>
      </c>
      <c r="K6" s="20">
        <v>36.928571428571431</v>
      </c>
      <c r="P6" s="18" t="s">
        <v>32</v>
      </c>
      <c r="Q6" s="20">
        <v>694</v>
      </c>
      <c r="U6" s="18" t="s">
        <v>56</v>
      </c>
      <c r="V6" s="20">
        <v>35</v>
      </c>
    </row>
    <row r="7" spans="1:22" x14ac:dyDescent="0.35">
      <c r="A7" s="18" t="s">
        <v>56</v>
      </c>
      <c r="B7" s="20">
        <v>300813</v>
      </c>
      <c r="C7" s="20">
        <v>563084</v>
      </c>
      <c r="D7" s="20">
        <v>602055</v>
      </c>
      <c r="E7" s="20">
        <v>525464</v>
      </c>
      <c r="F7" s="20">
        <v>212628</v>
      </c>
      <c r="G7" s="20">
        <v>2204044</v>
      </c>
      <c r="J7" s="18" t="s">
        <v>32</v>
      </c>
      <c r="K7" s="20">
        <v>46.266666666666666</v>
      </c>
      <c r="P7" s="18" t="s">
        <v>44</v>
      </c>
      <c r="Q7" s="20">
        <v>464</v>
      </c>
      <c r="U7" s="18" t="s">
        <v>71</v>
      </c>
      <c r="V7" s="44">
        <v>100</v>
      </c>
    </row>
    <row r="8" spans="1:22" x14ac:dyDescent="0.35">
      <c r="A8" s="18" t="s">
        <v>71</v>
      </c>
      <c r="B8" s="20">
        <v>1086352</v>
      </c>
      <c r="C8" s="20">
        <v>1345160</v>
      </c>
      <c r="D8" s="20">
        <v>1149809</v>
      </c>
      <c r="E8" s="20">
        <v>1569536</v>
      </c>
      <c r="F8" s="20">
        <v>710424</v>
      </c>
      <c r="G8" s="20">
        <v>5861281</v>
      </c>
      <c r="J8" s="18" t="s">
        <v>44</v>
      </c>
      <c r="K8" s="20">
        <v>46.4</v>
      </c>
      <c r="P8" s="18" t="s">
        <v>7</v>
      </c>
      <c r="Q8" s="20">
        <v>366</v>
      </c>
    </row>
    <row r="9" spans="1:22" x14ac:dyDescent="0.35">
      <c r="J9" s="18" t="s">
        <v>7</v>
      </c>
      <c r="K9" s="20">
        <v>36.6</v>
      </c>
      <c r="P9" s="18" t="s">
        <v>40</v>
      </c>
      <c r="Q9" s="20">
        <v>486</v>
      </c>
    </row>
    <row r="10" spans="1:22" x14ac:dyDescent="0.35">
      <c r="J10" s="18" t="s">
        <v>40</v>
      </c>
      <c r="K10" s="20">
        <v>40.5</v>
      </c>
      <c r="P10" s="18" t="s">
        <v>14</v>
      </c>
      <c r="Q10" s="20">
        <v>548</v>
      </c>
    </row>
    <row r="11" spans="1:22" x14ac:dyDescent="0.35">
      <c r="J11" s="18" t="s">
        <v>14</v>
      </c>
      <c r="K11" s="20">
        <v>42.153846153846153</v>
      </c>
      <c r="P11" s="18" t="s">
        <v>20</v>
      </c>
      <c r="Q11" s="20">
        <v>473</v>
      </c>
    </row>
    <row r="12" spans="1:22" x14ac:dyDescent="0.35">
      <c r="E12" s="45">
        <f>GETPIVOTDATA("Revenue",$A$3)</f>
        <v>5861281</v>
      </c>
      <c r="J12" s="18" t="s">
        <v>20</v>
      </c>
      <c r="K12" s="20">
        <v>43</v>
      </c>
      <c r="P12" s="18" t="s">
        <v>71</v>
      </c>
      <c r="Q12" s="44">
        <v>4064</v>
      </c>
    </row>
    <row r="13" spans="1:22" x14ac:dyDescent="0.35">
      <c r="J13" s="18" t="s">
        <v>71</v>
      </c>
      <c r="K13" s="44">
        <v>40.64</v>
      </c>
    </row>
    <row r="14" spans="1:22" x14ac:dyDescent="0.35">
      <c r="K14">
        <f>GETPIVOTDATA("Units Sold",$J$4)</f>
        <v>40.64</v>
      </c>
      <c r="Q14">
        <f>GETPIVOTDATA("Units Sold",$P$3)</f>
        <v>4064</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9F59-EA3B-4CED-8FC9-BB0DF86706DF}">
  <sheetPr>
    <pageSetUpPr fitToPage="1"/>
  </sheetPr>
  <dimension ref="D5"/>
  <sheetViews>
    <sheetView showGridLines="0" tabSelected="1" topLeftCell="A27" zoomScale="90" zoomScaleNormal="90" workbookViewId="0">
      <selection activeCell="H15" sqref="H15"/>
    </sheetView>
  </sheetViews>
  <sheetFormatPr defaultRowHeight="14.5" x14ac:dyDescent="0.35"/>
  <sheetData>
    <row r="5" spans="4:4" x14ac:dyDescent="0.35">
      <c r="D5" s="21"/>
    </row>
  </sheetData>
  <pageMargins left="0.7" right="0.7" top="0.75" bottom="0.75" header="0.3" footer="0.3"/>
  <pageSetup paperSize="9" scale="55"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895C-422D-4735-8A48-F40EA231AD05}">
  <sheetPr>
    <tabColor rgb="FF0070C0"/>
  </sheetPr>
  <dimension ref="A1:F101"/>
  <sheetViews>
    <sheetView workbookViewId="0">
      <selection activeCell="G6" sqref="G6"/>
    </sheetView>
  </sheetViews>
  <sheetFormatPr defaultRowHeight="14.5" x14ac:dyDescent="0.35"/>
  <cols>
    <col min="1" max="1" width="14.453125" bestFit="1" customWidth="1"/>
    <col min="2" max="2" width="13.7265625" bestFit="1" customWidth="1"/>
    <col min="6" max="6" width="24.36328125" style="23" bestFit="1" customWidth="1"/>
  </cols>
  <sheetData>
    <row r="1" spans="1:6" x14ac:dyDescent="0.35">
      <c r="A1" s="21" t="s">
        <v>88</v>
      </c>
      <c r="B1" s="21" t="s">
        <v>2</v>
      </c>
      <c r="C1" s="21" t="s">
        <v>3</v>
      </c>
      <c r="D1" s="22" t="s">
        <v>52</v>
      </c>
      <c r="E1" s="22" t="s">
        <v>53</v>
      </c>
      <c r="F1" s="24" t="s">
        <v>89</v>
      </c>
    </row>
    <row r="2" spans="1:6" x14ac:dyDescent="0.35">
      <c r="A2" t="str">
        <f>IFERROR(_xlfn.XLOOKUP(MonthlySalesData!D2,EmployeeMaster!A:A,EmployeeMaster!B:B,0),0)</f>
        <v>Raj Mehta</v>
      </c>
      <c r="B2" t="str">
        <f>IFERROR(_xlfn.XLOOKUP(MonthlySalesData!D2,EmployeeMaster!A:A,EmployeeMaster!D:D,0),0)</f>
        <v>Marketing Lead</v>
      </c>
      <c r="C2" t="str">
        <f>IFERROR(_xlfn.XLOOKUP(MonthlySalesData!D2,EmployeeMaster!A:A,EmployeeMaster!E:E,0),0)</f>
        <v>South</v>
      </c>
      <c r="D2">
        <v>36939</v>
      </c>
      <c r="E2">
        <v>37433</v>
      </c>
      <c r="F2" s="23">
        <f>IFERROR(D2/E2,0)</f>
        <v>0.98680308818422247</v>
      </c>
    </row>
    <row r="3" spans="1:6" x14ac:dyDescent="0.35">
      <c r="A3" t="str">
        <f>IFERROR(_xlfn.XLOOKUP(MonthlySalesData!D3,EmployeeMaster!A:A,EmployeeMaster!B:B,0),0)</f>
        <v>Ronn Robinson</v>
      </c>
      <c r="B3" t="str">
        <f>IFERROR(_xlfn.XLOOKUP(MonthlySalesData!D3,EmployeeMaster!A:A,EmployeeMaster!D:D,0),0)</f>
        <v>Sr. Sales Exec.</v>
      </c>
      <c r="C3" t="str">
        <f>IFERROR(_xlfn.XLOOKUP(MonthlySalesData!D3,EmployeeMaster!A:A,EmployeeMaster!E:E,0),0)</f>
        <v>East</v>
      </c>
      <c r="D3">
        <v>43992</v>
      </c>
      <c r="E3">
        <v>36857</v>
      </c>
      <c r="F3" s="23">
        <f t="shared" ref="F3:F66" si="0">IFERROR(D3/E3,0)</f>
        <v>1.1935860216512466</v>
      </c>
    </row>
    <row r="4" spans="1:6" x14ac:dyDescent="0.35">
      <c r="A4" t="str">
        <f>IFERROR(_xlfn.XLOOKUP(MonthlySalesData!D4,EmployeeMaster!A:A,EmployeeMaster!B:B,0),0)</f>
        <v>Martina Brands</v>
      </c>
      <c r="B4" t="str">
        <f>IFERROR(_xlfn.XLOOKUP(MonthlySalesData!D4,EmployeeMaster!A:A,EmployeeMaster!D:D,0),0)</f>
        <v>Brand Manager</v>
      </c>
      <c r="C4" t="str">
        <f>IFERROR(_xlfn.XLOOKUP(MonthlySalesData!D4,EmployeeMaster!A:A,EmployeeMaster!E:E,0),0)</f>
        <v>North</v>
      </c>
      <c r="D4">
        <v>22660</v>
      </c>
      <c r="E4">
        <v>26125</v>
      </c>
      <c r="F4" s="23">
        <f t="shared" si="0"/>
        <v>0.86736842105263157</v>
      </c>
    </row>
    <row r="5" spans="1:6" x14ac:dyDescent="0.35">
      <c r="A5" t="str">
        <f>IFERROR(_xlfn.XLOOKUP(MonthlySalesData!D5,EmployeeMaster!A:A,EmployeeMaster!B:B,0),0)</f>
        <v>Lynda Smith</v>
      </c>
      <c r="B5" t="str">
        <f>IFERROR(_xlfn.XLOOKUP(MonthlySalesData!D5,EmployeeMaster!A:A,EmployeeMaster!D:D,0),0)</f>
        <v>Sales Executive</v>
      </c>
      <c r="C5" t="str">
        <f>IFERROR(_xlfn.XLOOKUP(MonthlySalesData!D5,EmployeeMaster!A:A,EmployeeMaster!E:E,0),0)</f>
        <v>North</v>
      </c>
      <c r="D5">
        <v>66165</v>
      </c>
      <c r="E5">
        <v>59434</v>
      </c>
      <c r="F5" s="23">
        <f t="shared" si="0"/>
        <v>1.1132516741259213</v>
      </c>
    </row>
    <row r="6" spans="1:6" x14ac:dyDescent="0.35">
      <c r="A6" t="str">
        <f>IFERROR(_xlfn.XLOOKUP(MonthlySalesData!D6,EmployeeMaster!A:A,EmployeeMaster!B:B,0),0)</f>
        <v>Martina Brands</v>
      </c>
      <c r="B6" t="str">
        <f>IFERROR(_xlfn.XLOOKUP(MonthlySalesData!D6,EmployeeMaster!A:A,EmployeeMaster!D:D,0),0)</f>
        <v>Brand Manager</v>
      </c>
      <c r="C6" t="str">
        <f>IFERROR(_xlfn.XLOOKUP(MonthlySalesData!D6,EmployeeMaster!A:A,EmployeeMaster!E:E,0),0)</f>
        <v>North</v>
      </c>
      <c r="D6">
        <v>49606</v>
      </c>
      <c r="E6">
        <v>44952</v>
      </c>
      <c r="F6" s="23">
        <f t="shared" si="0"/>
        <v>1.1035326570564157</v>
      </c>
    </row>
    <row r="7" spans="1:6" x14ac:dyDescent="0.35">
      <c r="A7" t="str">
        <f>IFERROR(_xlfn.XLOOKUP(MonthlySalesData!D7,EmployeeMaster!A:A,EmployeeMaster!B:B,0),0)</f>
        <v>Ronn Robinson</v>
      </c>
      <c r="B7" t="str">
        <f>IFERROR(_xlfn.XLOOKUP(MonthlySalesData!D7,EmployeeMaster!A:A,EmployeeMaster!D:D,0),0)</f>
        <v>Sr. Sales Exec.</v>
      </c>
      <c r="C7" t="str">
        <f>IFERROR(_xlfn.XLOOKUP(MonthlySalesData!D7,EmployeeMaster!A:A,EmployeeMaster!E:E,0),0)</f>
        <v>East</v>
      </c>
      <c r="D7">
        <v>63356</v>
      </c>
      <c r="E7">
        <v>63804</v>
      </c>
      <c r="F7" s="23">
        <f t="shared" si="0"/>
        <v>0.99297849664597826</v>
      </c>
    </row>
    <row r="8" spans="1:6" x14ac:dyDescent="0.35">
      <c r="A8" t="str">
        <f>IFERROR(_xlfn.XLOOKUP(MonthlySalesData!D8,EmployeeMaster!A:A,EmployeeMaster!B:B,0),0)</f>
        <v>Fatima Zhang</v>
      </c>
      <c r="B8" t="str">
        <f>IFERROR(_xlfn.XLOOKUP(MonthlySalesData!D8,EmployeeMaster!A:A,EmployeeMaster!D:D,0),0)</f>
        <v>Sales Executive</v>
      </c>
      <c r="C8" t="str">
        <f>IFERROR(_xlfn.XLOOKUP(MonthlySalesData!D8,EmployeeMaster!A:A,EmployeeMaster!E:E,0),0)</f>
        <v>South</v>
      </c>
      <c r="D8">
        <v>28444</v>
      </c>
      <c r="E8">
        <v>27220</v>
      </c>
      <c r="F8" s="23">
        <f t="shared" si="0"/>
        <v>1.0449669360764144</v>
      </c>
    </row>
    <row r="9" spans="1:6" x14ac:dyDescent="0.35">
      <c r="A9" t="str">
        <f>IFERROR(_xlfn.XLOOKUP(MonthlySalesData!D9,EmployeeMaster!A:A,EmployeeMaster!B:B,0),0)</f>
        <v>Fatima Zhang</v>
      </c>
      <c r="B9" t="str">
        <f>IFERROR(_xlfn.XLOOKUP(MonthlySalesData!D9,EmployeeMaster!A:A,EmployeeMaster!D:D,0),0)</f>
        <v>Sales Executive</v>
      </c>
      <c r="C9" t="str">
        <f>IFERROR(_xlfn.XLOOKUP(MonthlySalesData!D9,EmployeeMaster!A:A,EmployeeMaster!E:E,0),0)</f>
        <v>South</v>
      </c>
      <c r="D9">
        <v>73660</v>
      </c>
      <c r="E9">
        <v>65437</v>
      </c>
      <c r="F9" s="23">
        <f t="shared" si="0"/>
        <v>1.1256628512920825</v>
      </c>
    </row>
    <row r="10" spans="1:6" x14ac:dyDescent="0.35">
      <c r="A10" t="str">
        <f>IFERROR(_xlfn.XLOOKUP(MonthlySalesData!D10,EmployeeMaster!A:A,EmployeeMaster!B:B,0),0)</f>
        <v>John Taylor</v>
      </c>
      <c r="B10" t="str">
        <f>IFERROR(_xlfn.XLOOKUP(MonthlySalesData!D10,EmployeeMaster!A:A,EmployeeMaster!D:D,0),0)</f>
        <v>Sales Manager</v>
      </c>
      <c r="C10" t="str">
        <f>IFERROR(_xlfn.XLOOKUP(MonthlySalesData!D10,EmployeeMaster!A:A,EmployeeMaster!E:E,0),0)</f>
        <v>East</v>
      </c>
      <c r="D10">
        <v>60858</v>
      </c>
      <c r="E10">
        <v>59657</v>
      </c>
      <c r="F10" s="23">
        <f t="shared" si="0"/>
        <v>1.0201317531890641</v>
      </c>
    </row>
    <row r="11" spans="1:6" x14ac:dyDescent="0.35">
      <c r="A11" t="str">
        <f>IFERROR(_xlfn.XLOOKUP(MonthlySalesData!D11,EmployeeMaster!A:A,EmployeeMaster!B:B,0),0)</f>
        <v>Joe Lyn</v>
      </c>
      <c r="B11" t="str">
        <f>IFERROR(_xlfn.XLOOKUP(MonthlySalesData!D11,EmployeeMaster!A:A,EmployeeMaster!D:D,0),0)</f>
        <v>Sales Associate</v>
      </c>
      <c r="C11" t="str">
        <f>IFERROR(_xlfn.XLOOKUP(MonthlySalesData!D11,EmployeeMaster!A:A,EmployeeMaster!E:E,0),0)</f>
        <v>Central</v>
      </c>
      <c r="D11">
        <v>97980</v>
      </c>
      <c r="E11">
        <v>88473</v>
      </c>
      <c r="F11" s="23">
        <f t="shared" si="0"/>
        <v>1.107456512156251</v>
      </c>
    </row>
    <row r="12" spans="1:6" x14ac:dyDescent="0.35">
      <c r="A12" t="str">
        <f>IFERROR(_xlfn.XLOOKUP(MonthlySalesData!D12,EmployeeMaster!A:A,EmployeeMaster!B:B,0),0)</f>
        <v>Christi Davis</v>
      </c>
      <c r="B12" t="str">
        <f>IFERROR(_xlfn.XLOOKUP(MonthlySalesData!D12,EmployeeMaster!A:A,EmployeeMaster!D:D,0),0)</f>
        <v>Ops Manager</v>
      </c>
      <c r="C12" t="str">
        <f>IFERROR(_xlfn.XLOOKUP(MonthlySalesData!D12,EmployeeMaster!A:A,EmployeeMaster!E:E,0),0)</f>
        <v>West</v>
      </c>
      <c r="D12">
        <v>25104</v>
      </c>
      <c r="E12">
        <v>19270</v>
      </c>
      <c r="F12" s="23">
        <f t="shared" si="0"/>
        <v>1.3027503892060197</v>
      </c>
    </row>
    <row r="13" spans="1:6" x14ac:dyDescent="0.35">
      <c r="A13" t="str">
        <f>IFERROR(_xlfn.XLOOKUP(MonthlySalesData!D13,EmployeeMaster!A:A,EmployeeMaster!B:B,0),0)</f>
        <v>Raj Mehta</v>
      </c>
      <c r="B13" t="str">
        <f>IFERROR(_xlfn.XLOOKUP(MonthlySalesData!D13,EmployeeMaster!A:A,EmployeeMaster!D:D,0),0)</f>
        <v>Marketing Lead</v>
      </c>
      <c r="C13" t="str">
        <f>IFERROR(_xlfn.XLOOKUP(MonthlySalesData!D13,EmployeeMaster!A:A,EmployeeMaster!E:E,0),0)</f>
        <v>South</v>
      </c>
      <c r="D13">
        <v>64158</v>
      </c>
      <c r="E13">
        <v>67504</v>
      </c>
      <c r="F13" s="23">
        <f t="shared" si="0"/>
        <v>0.95043256695899503</v>
      </c>
    </row>
    <row r="14" spans="1:6" x14ac:dyDescent="0.35">
      <c r="A14" t="str">
        <f>IFERROR(_xlfn.XLOOKUP(MonthlySalesData!D14,EmployeeMaster!A:A,EmployeeMaster!B:B,0),0)</f>
        <v>John Taylor</v>
      </c>
      <c r="B14" t="str">
        <f>IFERROR(_xlfn.XLOOKUP(MonthlySalesData!D14,EmployeeMaster!A:A,EmployeeMaster!D:D,0),0)</f>
        <v>Sales Manager</v>
      </c>
      <c r="C14" t="str">
        <f>IFERROR(_xlfn.XLOOKUP(MonthlySalesData!D14,EmployeeMaster!A:A,EmployeeMaster!E:E,0),0)</f>
        <v>East</v>
      </c>
      <c r="D14">
        <v>111240</v>
      </c>
      <c r="E14">
        <v>110263</v>
      </c>
      <c r="F14" s="23">
        <f t="shared" si="0"/>
        <v>1.0088606332133172</v>
      </c>
    </row>
    <row r="15" spans="1:6" x14ac:dyDescent="0.35">
      <c r="A15" t="str">
        <f>IFERROR(_xlfn.XLOOKUP(MonthlySalesData!D15,EmployeeMaster!A:A,EmployeeMaster!B:B,0),0)</f>
        <v>Fatima Zhang</v>
      </c>
      <c r="B15" t="str">
        <f>IFERROR(_xlfn.XLOOKUP(MonthlySalesData!D15,EmployeeMaster!A:A,EmployeeMaster!D:D,0),0)</f>
        <v>Sales Executive</v>
      </c>
      <c r="C15" t="str">
        <f>IFERROR(_xlfn.XLOOKUP(MonthlySalesData!D15,EmployeeMaster!A:A,EmployeeMaster!E:E,0),0)</f>
        <v>South</v>
      </c>
      <c r="D15">
        <v>55638</v>
      </c>
      <c r="E15">
        <v>56264</v>
      </c>
      <c r="F15" s="23">
        <f t="shared" si="0"/>
        <v>0.98887388027868617</v>
      </c>
    </row>
    <row r="16" spans="1:6" x14ac:dyDescent="0.35">
      <c r="A16" t="str">
        <f>IFERROR(_xlfn.XLOOKUP(MonthlySalesData!D16,EmployeeMaster!A:A,EmployeeMaster!B:B,0),0)</f>
        <v>Raj Mehta</v>
      </c>
      <c r="B16" t="str">
        <f>IFERROR(_xlfn.XLOOKUP(MonthlySalesData!D16,EmployeeMaster!A:A,EmployeeMaster!D:D,0),0)</f>
        <v>Marketing Lead</v>
      </c>
      <c r="C16" t="str">
        <f>IFERROR(_xlfn.XLOOKUP(MonthlySalesData!D16,EmployeeMaster!A:A,EmployeeMaster!E:E,0),0)</f>
        <v>South</v>
      </c>
      <c r="D16">
        <v>95700</v>
      </c>
      <c r="E16">
        <v>97897</v>
      </c>
      <c r="F16" s="23">
        <f t="shared" si="0"/>
        <v>0.97755804570109406</v>
      </c>
    </row>
    <row r="17" spans="1:6" x14ac:dyDescent="0.35">
      <c r="A17" t="str">
        <f>IFERROR(_xlfn.XLOOKUP(MonthlySalesData!D17,EmployeeMaster!A:A,EmployeeMaster!B:B,0),0)</f>
        <v>Christi Davis</v>
      </c>
      <c r="B17" t="str">
        <f>IFERROR(_xlfn.XLOOKUP(MonthlySalesData!D17,EmployeeMaster!A:A,EmployeeMaster!D:D,0),0)</f>
        <v>Ops Manager</v>
      </c>
      <c r="C17" t="str">
        <f>IFERROR(_xlfn.XLOOKUP(MonthlySalesData!D17,EmployeeMaster!A:A,EmployeeMaster!E:E,0),0)</f>
        <v>West</v>
      </c>
      <c r="D17">
        <v>44190</v>
      </c>
      <c r="E17">
        <v>42974</v>
      </c>
      <c r="F17" s="23">
        <f t="shared" si="0"/>
        <v>1.0282961790850282</v>
      </c>
    </row>
    <row r="18" spans="1:6" x14ac:dyDescent="0.35">
      <c r="A18" t="str">
        <f>IFERROR(_xlfn.XLOOKUP(MonthlySalesData!D18,EmployeeMaster!A:A,EmployeeMaster!B:B,0),0)</f>
        <v>Christi Davis</v>
      </c>
      <c r="B18" t="str">
        <f>IFERROR(_xlfn.XLOOKUP(MonthlySalesData!D18,EmployeeMaster!A:A,EmployeeMaster!D:D,0),0)</f>
        <v>Ops Manager</v>
      </c>
      <c r="C18" t="str">
        <f>IFERROR(_xlfn.XLOOKUP(MonthlySalesData!D18,EmployeeMaster!A:A,EmployeeMaster!E:E,0),0)</f>
        <v>West</v>
      </c>
      <c r="D18">
        <v>74520</v>
      </c>
      <c r="E18">
        <v>66932</v>
      </c>
      <c r="F18" s="23">
        <f t="shared" si="0"/>
        <v>1.1133687922070161</v>
      </c>
    </row>
    <row r="19" spans="1:6" x14ac:dyDescent="0.35">
      <c r="A19" t="str">
        <f>IFERROR(_xlfn.XLOOKUP(MonthlySalesData!D19,EmployeeMaster!A:A,EmployeeMaster!B:B,0),0)</f>
        <v>Lynda Smith</v>
      </c>
      <c r="B19" t="str">
        <f>IFERROR(_xlfn.XLOOKUP(MonthlySalesData!D19,EmployeeMaster!A:A,EmployeeMaster!D:D,0),0)</f>
        <v>Sales Executive</v>
      </c>
      <c r="C19" t="str">
        <f>IFERROR(_xlfn.XLOOKUP(MonthlySalesData!D19,EmployeeMaster!A:A,EmployeeMaster!E:E,0),0)</f>
        <v>North</v>
      </c>
      <c r="D19">
        <v>56400</v>
      </c>
      <c r="E19">
        <v>57014</v>
      </c>
      <c r="F19" s="23">
        <f t="shared" si="0"/>
        <v>0.98923071526291784</v>
      </c>
    </row>
    <row r="20" spans="1:6" x14ac:dyDescent="0.35">
      <c r="A20" t="str">
        <f>IFERROR(_xlfn.XLOOKUP(MonthlySalesData!D20,EmployeeMaster!A:A,EmployeeMaster!B:B,0),0)</f>
        <v>Fatima Zhang</v>
      </c>
      <c r="B20" t="str">
        <f>IFERROR(_xlfn.XLOOKUP(MonthlySalesData!D20,EmployeeMaster!A:A,EmployeeMaster!D:D,0),0)</f>
        <v>Sales Executive</v>
      </c>
      <c r="C20" t="str">
        <f>IFERROR(_xlfn.XLOOKUP(MonthlySalesData!D20,EmployeeMaster!A:A,EmployeeMaster!E:E,0),0)</f>
        <v>South</v>
      </c>
      <c r="D20">
        <v>55143</v>
      </c>
      <c r="E20">
        <v>51964</v>
      </c>
      <c r="F20" s="23">
        <f t="shared" si="0"/>
        <v>1.0611769686706181</v>
      </c>
    </row>
    <row r="21" spans="1:6" x14ac:dyDescent="0.35">
      <c r="A21" t="str">
        <f>IFERROR(_xlfn.XLOOKUP(MonthlySalesData!D21,EmployeeMaster!A:A,EmployeeMaster!B:B,0),0)</f>
        <v>John Taylor</v>
      </c>
      <c r="B21" t="str">
        <f>IFERROR(_xlfn.XLOOKUP(MonthlySalesData!D21,EmployeeMaster!A:A,EmployeeMaster!D:D,0),0)</f>
        <v>Sales Manager</v>
      </c>
      <c r="C21" t="str">
        <f>IFERROR(_xlfn.XLOOKUP(MonthlySalesData!D21,EmployeeMaster!A:A,EmployeeMaster!E:E,0),0)</f>
        <v>East</v>
      </c>
      <c r="D21">
        <v>36859</v>
      </c>
      <c r="E21">
        <v>39572</v>
      </c>
      <c r="F21" s="23">
        <f t="shared" si="0"/>
        <v>0.9314414232285454</v>
      </c>
    </row>
    <row r="22" spans="1:6" x14ac:dyDescent="0.35">
      <c r="A22" t="str">
        <f>IFERROR(_xlfn.XLOOKUP(MonthlySalesData!D22,EmployeeMaster!A:A,EmployeeMaster!B:B,0),0)</f>
        <v>Joe Lyn</v>
      </c>
      <c r="B22" t="str">
        <f>IFERROR(_xlfn.XLOOKUP(MonthlySalesData!D22,EmployeeMaster!A:A,EmployeeMaster!D:D,0),0)</f>
        <v>Sales Associate</v>
      </c>
      <c r="C22" t="str">
        <f>IFERROR(_xlfn.XLOOKUP(MonthlySalesData!D22,EmployeeMaster!A:A,EmployeeMaster!E:E,0),0)</f>
        <v>Central</v>
      </c>
      <c r="D22">
        <v>81966</v>
      </c>
      <c r="E22">
        <v>72257</v>
      </c>
      <c r="F22" s="23">
        <f t="shared" si="0"/>
        <v>1.1343676045227451</v>
      </c>
    </row>
    <row r="23" spans="1:6" x14ac:dyDescent="0.35">
      <c r="A23" t="str">
        <f>IFERROR(_xlfn.XLOOKUP(MonthlySalesData!D23,EmployeeMaster!A:A,EmployeeMaster!B:B,0),0)</f>
        <v>Fatima Zhang</v>
      </c>
      <c r="B23" t="str">
        <f>IFERROR(_xlfn.XLOOKUP(MonthlySalesData!D23,EmployeeMaster!A:A,EmployeeMaster!D:D,0),0)</f>
        <v>Sales Executive</v>
      </c>
      <c r="C23" t="str">
        <f>IFERROR(_xlfn.XLOOKUP(MonthlySalesData!D23,EmployeeMaster!A:A,EmployeeMaster!E:E,0),0)</f>
        <v>South</v>
      </c>
      <c r="D23">
        <v>38794</v>
      </c>
      <c r="E23">
        <v>35446</v>
      </c>
      <c r="F23" s="23">
        <f t="shared" si="0"/>
        <v>1.0944535349545788</v>
      </c>
    </row>
    <row r="24" spans="1:6" x14ac:dyDescent="0.35">
      <c r="A24" t="str">
        <f>IFERROR(_xlfn.XLOOKUP(MonthlySalesData!D24,EmployeeMaster!A:A,EmployeeMaster!B:B,0),0)</f>
        <v>Lynda Smith</v>
      </c>
      <c r="B24" t="str">
        <f>IFERROR(_xlfn.XLOOKUP(MonthlySalesData!D24,EmployeeMaster!A:A,EmployeeMaster!D:D,0),0)</f>
        <v>Sales Executive</v>
      </c>
      <c r="C24" t="str">
        <f>IFERROR(_xlfn.XLOOKUP(MonthlySalesData!D24,EmployeeMaster!A:A,EmployeeMaster!E:E,0),0)</f>
        <v>North</v>
      </c>
      <c r="D24">
        <v>31212</v>
      </c>
      <c r="E24">
        <v>25932</v>
      </c>
      <c r="F24" s="23">
        <f t="shared" si="0"/>
        <v>1.2036094400740398</v>
      </c>
    </row>
    <row r="25" spans="1:6" x14ac:dyDescent="0.35">
      <c r="A25" t="str">
        <f>IFERROR(_xlfn.XLOOKUP(MonthlySalesData!D25,EmployeeMaster!A:A,EmployeeMaster!B:B,0),0)</f>
        <v>Martina Brands</v>
      </c>
      <c r="B25" t="str">
        <f>IFERROR(_xlfn.XLOOKUP(MonthlySalesData!D25,EmployeeMaster!A:A,EmployeeMaster!D:D,0),0)</f>
        <v>Brand Manager</v>
      </c>
      <c r="C25" t="str">
        <f>IFERROR(_xlfn.XLOOKUP(MonthlySalesData!D25,EmployeeMaster!A:A,EmployeeMaster!E:E,0),0)</f>
        <v>North</v>
      </c>
      <c r="D25">
        <v>61770</v>
      </c>
      <c r="E25">
        <v>60466</v>
      </c>
      <c r="F25" s="23">
        <f t="shared" si="0"/>
        <v>1.0215658386531274</v>
      </c>
    </row>
    <row r="26" spans="1:6" x14ac:dyDescent="0.35">
      <c r="A26" t="str">
        <f>IFERROR(_xlfn.XLOOKUP(MonthlySalesData!D26,EmployeeMaster!A:A,EmployeeMaster!B:B,0),0)</f>
        <v>John Taylor</v>
      </c>
      <c r="B26" t="str">
        <f>IFERROR(_xlfn.XLOOKUP(MonthlySalesData!D26,EmployeeMaster!A:A,EmployeeMaster!D:D,0),0)</f>
        <v>Sales Manager</v>
      </c>
      <c r="C26" t="str">
        <f>IFERROR(_xlfn.XLOOKUP(MonthlySalesData!D26,EmployeeMaster!A:A,EmployeeMaster!E:E,0),0)</f>
        <v>East</v>
      </c>
      <c r="D26">
        <v>66621</v>
      </c>
      <c r="E26">
        <v>62557</v>
      </c>
      <c r="F26" s="23">
        <f t="shared" si="0"/>
        <v>1.0649647521460428</v>
      </c>
    </row>
    <row r="27" spans="1:6" x14ac:dyDescent="0.35">
      <c r="A27" t="str">
        <f>IFERROR(_xlfn.XLOOKUP(MonthlySalesData!D27,EmployeeMaster!A:A,EmployeeMaster!B:B,0),0)</f>
        <v>Raj Mehta</v>
      </c>
      <c r="B27" t="str">
        <f>IFERROR(_xlfn.XLOOKUP(MonthlySalesData!D27,EmployeeMaster!A:A,EmployeeMaster!D:D,0),0)</f>
        <v>Marketing Lead</v>
      </c>
      <c r="C27" t="str">
        <f>IFERROR(_xlfn.XLOOKUP(MonthlySalesData!D27,EmployeeMaster!A:A,EmployeeMaster!E:E,0),0)</f>
        <v>South</v>
      </c>
      <c r="D27">
        <v>95472</v>
      </c>
      <c r="E27">
        <v>96101</v>
      </c>
      <c r="F27" s="23">
        <f t="shared" si="0"/>
        <v>0.99345480275959663</v>
      </c>
    </row>
    <row r="28" spans="1:6" x14ac:dyDescent="0.35">
      <c r="A28" t="str">
        <f>IFERROR(_xlfn.XLOOKUP(MonthlySalesData!D28,EmployeeMaster!A:A,EmployeeMaster!B:B,0),0)</f>
        <v>Raj Mehta</v>
      </c>
      <c r="B28" t="str">
        <f>IFERROR(_xlfn.XLOOKUP(MonthlySalesData!D28,EmployeeMaster!A:A,EmployeeMaster!D:D,0),0)</f>
        <v>Marketing Lead</v>
      </c>
      <c r="C28" t="str">
        <f>IFERROR(_xlfn.XLOOKUP(MonthlySalesData!D28,EmployeeMaster!A:A,EmployeeMaster!E:E,0),0)</f>
        <v>South</v>
      </c>
      <c r="D28">
        <v>54910</v>
      </c>
      <c r="E28">
        <v>57319</v>
      </c>
      <c r="F28" s="23">
        <f t="shared" si="0"/>
        <v>0.95797205115232298</v>
      </c>
    </row>
    <row r="29" spans="1:6" x14ac:dyDescent="0.35">
      <c r="A29" t="str">
        <f>IFERROR(_xlfn.XLOOKUP(MonthlySalesData!D29,EmployeeMaster!A:A,EmployeeMaster!B:B,0),0)</f>
        <v>Joe Lyn</v>
      </c>
      <c r="B29" t="str">
        <f>IFERROR(_xlfn.XLOOKUP(MonthlySalesData!D29,EmployeeMaster!A:A,EmployeeMaster!D:D,0),0)</f>
        <v>Sales Associate</v>
      </c>
      <c r="C29" t="str">
        <f>IFERROR(_xlfn.XLOOKUP(MonthlySalesData!D29,EmployeeMaster!A:A,EmployeeMaster!E:E,0),0)</f>
        <v>Central</v>
      </c>
      <c r="D29">
        <v>92560</v>
      </c>
      <c r="E29">
        <v>94633</v>
      </c>
      <c r="F29" s="23">
        <f t="shared" si="0"/>
        <v>0.97809432227658433</v>
      </c>
    </row>
    <row r="30" spans="1:6" x14ac:dyDescent="0.35">
      <c r="A30" t="str">
        <f>IFERROR(_xlfn.XLOOKUP(MonthlySalesData!D30,EmployeeMaster!A:A,EmployeeMaster!B:B,0),0)</f>
        <v>Joe Lyn</v>
      </c>
      <c r="B30" t="str">
        <f>IFERROR(_xlfn.XLOOKUP(MonthlySalesData!D30,EmployeeMaster!A:A,EmployeeMaster!D:D,0),0)</f>
        <v>Sales Associate</v>
      </c>
      <c r="C30" t="str">
        <f>IFERROR(_xlfn.XLOOKUP(MonthlySalesData!D30,EmployeeMaster!A:A,EmployeeMaster!E:E,0),0)</f>
        <v>Central</v>
      </c>
      <c r="D30">
        <v>91140</v>
      </c>
      <c r="E30">
        <v>86163</v>
      </c>
      <c r="F30" s="23">
        <f t="shared" si="0"/>
        <v>1.0577626127223982</v>
      </c>
    </row>
    <row r="31" spans="1:6" x14ac:dyDescent="0.35">
      <c r="A31" t="str">
        <f>IFERROR(_xlfn.XLOOKUP(MonthlySalesData!D31,EmployeeMaster!A:A,EmployeeMaster!B:B,0),0)</f>
        <v>Fatima Zhang</v>
      </c>
      <c r="B31" t="str">
        <f>IFERROR(_xlfn.XLOOKUP(MonthlySalesData!D31,EmployeeMaster!A:A,EmployeeMaster!D:D,0),0)</f>
        <v>Sales Executive</v>
      </c>
      <c r="C31" t="str">
        <f>IFERROR(_xlfn.XLOOKUP(MonthlySalesData!D31,EmployeeMaster!A:A,EmployeeMaster!E:E,0),0)</f>
        <v>South</v>
      </c>
      <c r="D31">
        <v>46560</v>
      </c>
      <c r="E31">
        <v>38803</v>
      </c>
      <c r="F31" s="23">
        <f t="shared" si="0"/>
        <v>1.1999072236682731</v>
      </c>
    </row>
    <row r="32" spans="1:6" x14ac:dyDescent="0.35">
      <c r="A32" t="str">
        <f>IFERROR(_xlfn.XLOOKUP(MonthlySalesData!D32,EmployeeMaster!A:A,EmployeeMaster!B:B,0),0)</f>
        <v>Fatima Zhang</v>
      </c>
      <c r="B32" t="str">
        <f>IFERROR(_xlfn.XLOOKUP(MonthlySalesData!D32,EmployeeMaster!A:A,EmployeeMaster!D:D,0),0)</f>
        <v>Sales Executive</v>
      </c>
      <c r="C32" t="str">
        <f>IFERROR(_xlfn.XLOOKUP(MonthlySalesData!D32,EmployeeMaster!A:A,EmployeeMaster!E:E,0),0)</f>
        <v>South</v>
      </c>
      <c r="D32">
        <v>51969</v>
      </c>
      <c r="E32">
        <v>55137</v>
      </c>
      <c r="F32" s="23">
        <f t="shared" si="0"/>
        <v>0.94254311986506334</v>
      </c>
    </row>
    <row r="33" spans="1:6" x14ac:dyDescent="0.35">
      <c r="A33" t="str">
        <f>IFERROR(_xlfn.XLOOKUP(MonthlySalesData!D33,EmployeeMaster!A:A,EmployeeMaster!B:B,0),0)</f>
        <v>Christi Davis</v>
      </c>
      <c r="B33" t="str">
        <f>IFERROR(_xlfn.XLOOKUP(MonthlySalesData!D33,EmployeeMaster!A:A,EmployeeMaster!D:D,0),0)</f>
        <v>Ops Manager</v>
      </c>
      <c r="C33" t="str">
        <f>IFERROR(_xlfn.XLOOKUP(MonthlySalesData!D33,EmployeeMaster!A:A,EmployeeMaster!E:E,0),0)</f>
        <v>West</v>
      </c>
      <c r="D33">
        <v>28658</v>
      </c>
      <c r="E33">
        <v>19273</v>
      </c>
      <c r="F33" s="23">
        <f t="shared" si="0"/>
        <v>1.4869506563586363</v>
      </c>
    </row>
    <row r="34" spans="1:6" x14ac:dyDescent="0.35">
      <c r="A34" t="str">
        <f>IFERROR(_xlfn.XLOOKUP(MonthlySalesData!D34,EmployeeMaster!A:A,EmployeeMaster!B:B,0),0)</f>
        <v>Raj Mehta</v>
      </c>
      <c r="B34" t="str">
        <f>IFERROR(_xlfn.XLOOKUP(MonthlySalesData!D34,EmployeeMaster!A:A,EmployeeMaster!D:D,0),0)</f>
        <v>Marketing Lead</v>
      </c>
      <c r="C34" t="str">
        <f>IFERROR(_xlfn.XLOOKUP(MonthlySalesData!D34,EmployeeMaster!A:A,EmployeeMaster!E:E,0),0)</f>
        <v>South</v>
      </c>
      <c r="D34">
        <v>93585</v>
      </c>
      <c r="E34">
        <v>97452</v>
      </c>
      <c r="F34" s="23">
        <f t="shared" si="0"/>
        <v>0.96031892624061077</v>
      </c>
    </row>
    <row r="35" spans="1:6" x14ac:dyDescent="0.35">
      <c r="A35" t="str">
        <f>IFERROR(_xlfn.XLOOKUP(MonthlySalesData!D35,EmployeeMaster!A:A,EmployeeMaster!B:B,0),0)</f>
        <v>Ronn Robinson</v>
      </c>
      <c r="B35" t="str">
        <f>IFERROR(_xlfn.XLOOKUP(MonthlySalesData!D35,EmployeeMaster!A:A,EmployeeMaster!D:D,0),0)</f>
        <v>Sr. Sales Exec.</v>
      </c>
      <c r="C35" t="str">
        <f>IFERROR(_xlfn.XLOOKUP(MonthlySalesData!D35,EmployeeMaster!A:A,EmployeeMaster!E:E,0),0)</f>
        <v>East</v>
      </c>
      <c r="D35">
        <v>98450</v>
      </c>
      <c r="E35">
        <v>94443</v>
      </c>
      <c r="F35" s="23">
        <f t="shared" si="0"/>
        <v>1.0424277077178827</v>
      </c>
    </row>
    <row r="36" spans="1:6" x14ac:dyDescent="0.35">
      <c r="A36" t="str">
        <f>IFERROR(_xlfn.XLOOKUP(MonthlySalesData!D36,EmployeeMaster!A:A,EmployeeMaster!B:B,0),0)</f>
        <v>Martina Brands</v>
      </c>
      <c r="B36" t="str">
        <f>IFERROR(_xlfn.XLOOKUP(MonthlySalesData!D36,EmployeeMaster!A:A,EmployeeMaster!D:D,0),0)</f>
        <v>Brand Manager</v>
      </c>
      <c r="C36" t="str">
        <f>IFERROR(_xlfn.XLOOKUP(MonthlySalesData!D36,EmployeeMaster!A:A,EmployeeMaster!E:E,0),0)</f>
        <v>North</v>
      </c>
      <c r="D36">
        <v>64383</v>
      </c>
      <c r="E36">
        <v>60548</v>
      </c>
      <c r="F36" s="23">
        <f t="shared" si="0"/>
        <v>1.0633381779744995</v>
      </c>
    </row>
    <row r="37" spans="1:6" x14ac:dyDescent="0.35">
      <c r="A37" t="str">
        <f>IFERROR(_xlfn.XLOOKUP(MonthlySalesData!D37,EmployeeMaster!A:A,EmployeeMaster!B:B,0),0)</f>
        <v>Christi Davis</v>
      </c>
      <c r="B37" t="str">
        <f>IFERROR(_xlfn.XLOOKUP(MonthlySalesData!D37,EmployeeMaster!A:A,EmployeeMaster!D:D,0),0)</f>
        <v>Ops Manager</v>
      </c>
      <c r="C37" t="str">
        <f>IFERROR(_xlfn.XLOOKUP(MonthlySalesData!D37,EmployeeMaster!A:A,EmployeeMaster!E:E,0),0)</f>
        <v>West</v>
      </c>
      <c r="D37">
        <v>54912</v>
      </c>
      <c r="E37">
        <v>48908</v>
      </c>
      <c r="F37" s="23">
        <f t="shared" si="0"/>
        <v>1.1227611024781221</v>
      </c>
    </row>
    <row r="38" spans="1:6" x14ac:dyDescent="0.35">
      <c r="A38" t="str">
        <f>IFERROR(_xlfn.XLOOKUP(MonthlySalesData!D38,EmployeeMaster!A:A,EmployeeMaster!B:B,0),0)</f>
        <v>John Taylor</v>
      </c>
      <c r="B38" t="str">
        <f>IFERROR(_xlfn.XLOOKUP(MonthlySalesData!D38,EmployeeMaster!A:A,EmployeeMaster!D:D,0),0)</f>
        <v>Sales Manager</v>
      </c>
      <c r="C38" t="str">
        <f>IFERROR(_xlfn.XLOOKUP(MonthlySalesData!D38,EmployeeMaster!A:A,EmployeeMaster!E:E,0),0)</f>
        <v>East</v>
      </c>
      <c r="D38">
        <v>77486</v>
      </c>
      <c r="E38">
        <v>80504</v>
      </c>
      <c r="F38" s="23">
        <f t="shared" si="0"/>
        <v>0.96251117956871712</v>
      </c>
    </row>
    <row r="39" spans="1:6" x14ac:dyDescent="0.35">
      <c r="A39" t="str">
        <f>IFERROR(_xlfn.XLOOKUP(MonthlySalesData!D39,EmployeeMaster!A:A,EmployeeMaster!B:B,0),0)</f>
        <v>Raj Mehta</v>
      </c>
      <c r="B39" t="str">
        <f>IFERROR(_xlfn.XLOOKUP(MonthlySalesData!D39,EmployeeMaster!A:A,EmployeeMaster!D:D,0),0)</f>
        <v>Marketing Lead</v>
      </c>
      <c r="C39" t="str">
        <f>IFERROR(_xlfn.XLOOKUP(MonthlySalesData!D39,EmployeeMaster!A:A,EmployeeMaster!E:E,0),0)</f>
        <v>South</v>
      </c>
      <c r="D39">
        <v>41861</v>
      </c>
      <c r="E39">
        <v>37223</v>
      </c>
      <c r="F39" s="23">
        <f t="shared" si="0"/>
        <v>1.124600381484566</v>
      </c>
    </row>
    <row r="40" spans="1:6" x14ac:dyDescent="0.35">
      <c r="A40" t="str">
        <f>IFERROR(_xlfn.XLOOKUP(MonthlySalesData!D40,EmployeeMaster!A:A,EmployeeMaster!B:B,0),0)</f>
        <v>Christi Davis</v>
      </c>
      <c r="B40" t="str">
        <f>IFERROR(_xlfn.XLOOKUP(MonthlySalesData!D40,EmployeeMaster!A:A,EmployeeMaster!D:D,0),0)</f>
        <v>Ops Manager</v>
      </c>
      <c r="C40" t="str">
        <f>IFERROR(_xlfn.XLOOKUP(MonthlySalesData!D40,EmployeeMaster!A:A,EmployeeMaster!E:E,0),0)</f>
        <v>West</v>
      </c>
      <c r="D40">
        <v>21440</v>
      </c>
      <c r="E40">
        <v>14843</v>
      </c>
      <c r="F40" s="23">
        <f t="shared" si="0"/>
        <v>1.4444519302027892</v>
      </c>
    </row>
    <row r="41" spans="1:6" x14ac:dyDescent="0.35">
      <c r="A41" t="str">
        <f>IFERROR(_xlfn.XLOOKUP(MonthlySalesData!D41,EmployeeMaster!A:A,EmployeeMaster!B:B,0),0)</f>
        <v>Christi Davis</v>
      </c>
      <c r="B41" t="str">
        <f>IFERROR(_xlfn.XLOOKUP(MonthlySalesData!D41,EmployeeMaster!A:A,EmployeeMaster!D:D,0),0)</f>
        <v>Ops Manager</v>
      </c>
      <c r="C41" t="str">
        <f>IFERROR(_xlfn.XLOOKUP(MonthlySalesData!D41,EmployeeMaster!A:A,EmployeeMaster!E:E,0),0)</f>
        <v>West</v>
      </c>
      <c r="D41">
        <v>46248</v>
      </c>
      <c r="E41">
        <v>50734</v>
      </c>
      <c r="F41" s="23">
        <f t="shared" si="0"/>
        <v>0.91157803445421215</v>
      </c>
    </row>
    <row r="42" spans="1:6" x14ac:dyDescent="0.35">
      <c r="A42" t="str">
        <f>IFERROR(_xlfn.XLOOKUP(MonthlySalesData!D42,EmployeeMaster!A:A,EmployeeMaster!B:B,0),0)</f>
        <v>Christi Davis</v>
      </c>
      <c r="B42" t="str">
        <f>IFERROR(_xlfn.XLOOKUP(MonthlySalesData!D42,EmployeeMaster!A:A,EmployeeMaster!D:D,0),0)</f>
        <v>Ops Manager</v>
      </c>
      <c r="C42" t="str">
        <f>IFERROR(_xlfn.XLOOKUP(MonthlySalesData!D42,EmployeeMaster!A:A,EmployeeMaster!E:E,0),0)</f>
        <v>West</v>
      </c>
      <c r="D42">
        <v>62345</v>
      </c>
      <c r="E42">
        <v>59392</v>
      </c>
      <c r="F42" s="23">
        <f t="shared" si="0"/>
        <v>1.0497205010775863</v>
      </c>
    </row>
    <row r="43" spans="1:6" x14ac:dyDescent="0.35">
      <c r="A43" t="str">
        <f>IFERROR(_xlfn.XLOOKUP(MonthlySalesData!D43,EmployeeMaster!A:A,EmployeeMaster!B:B,0),0)</f>
        <v>Ronn Robinson</v>
      </c>
      <c r="B43" t="str">
        <f>IFERROR(_xlfn.XLOOKUP(MonthlySalesData!D43,EmployeeMaster!A:A,EmployeeMaster!D:D,0),0)</f>
        <v>Sr. Sales Exec.</v>
      </c>
      <c r="C43" t="str">
        <f>IFERROR(_xlfn.XLOOKUP(MonthlySalesData!D43,EmployeeMaster!A:A,EmployeeMaster!E:E,0),0)</f>
        <v>East</v>
      </c>
      <c r="D43">
        <v>89040</v>
      </c>
      <c r="E43">
        <v>86296</v>
      </c>
      <c r="F43" s="23">
        <f t="shared" si="0"/>
        <v>1.0317975340687866</v>
      </c>
    </row>
    <row r="44" spans="1:6" x14ac:dyDescent="0.35">
      <c r="A44" t="str">
        <f>IFERROR(_xlfn.XLOOKUP(MonthlySalesData!D44,EmployeeMaster!A:A,EmployeeMaster!B:B,0),0)</f>
        <v>Martina Brands</v>
      </c>
      <c r="B44" t="str">
        <f>IFERROR(_xlfn.XLOOKUP(MonthlySalesData!D44,EmployeeMaster!A:A,EmployeeMaster!D:D,0),0)</f>
        <v>Brand Manager</v>
      </c>
      <c r="C44" t="str">
        <f>IFERROR(_xlfn.XLOOKUP(MonthlySalesData!D44,EmployeeMaster!A:A,EmployeeMaster!E:E,0),0)</f>
        <v>North</v>
      </c>
      <c r="D44">
        <v>35072</v>
      </c>
      <c r="E44">
        <v>38484</v>
      </c>
      <c r="F44" s="23">
        <f t="shared" si="0"/>
        <v>0.91133977756989915</v>
      </c>
    </row>
    <row r="45" spans="1:6" x14ac:dyDescent="0.35">
      <c r="A45" t="str">
        <f>IFERROR(_xlfn.XLOOKUP(MonthlySalesData!D45,EmployeeMaster!A:A,EmployeeMaster!B:B,0),0)</f>
        <v>Fatima Zhang</v>
      </c>
      <c r="B45" t="str">
        <f>IFERROR(_xlfn.XLOOKUP(MonthlySalesData!D45,EmployeeMaster!A:A,EmployeeMaster!D:D,0),0)</f>
        <v>Sales Executive</v>
      </c>
      <c r="C45" t="str">
        <f>IFERROR(_xlfn.XLOOKUP(MonthlySalesData!D45,EmployeeMaster!A:A,EmployeeMaster!E:E,0),0)</f>
        <v>South</v>
      </c>
      <c r="D45">
        <v>66740</v>
      </c>
      <c r="E45">
        <v>64089</v>
      </c>
      <c r="F45" s="23">
        <f t="shared" si="0"/>
        <v>1.0413643526970306</v>
      </c>
    </row>
    <row r="46" spans="1:6" x14ac:dyDescent="0.35">
      <c r="A46" t="str">
        <f>IFERROR(_xlfn.XLOOKUP(MonthlySalesData!D46,EmployeeMaster!A:A,EmployeeMaster!B:B,0),0)</f>
        <v>Raj Mehta</v>
      </c>
      <c r="B46" t="str">
        <f>IFERROR(_xlfn.XLOOKUP(MonthlySalesData!D46,EmployeeMaster!A:A,EmployeeMaster!D:D,0),0)</f>
        <v>Marketing Lead</v>
      </c>
      <c r="C46" t="str">
        <f>IFERROR(_xlfn.XLOOKUP(MonthlySalesData!D46,EmployeeMaster!A:A,EmployeeMaster!E:E,0),0)</f>
        <v>South</v>
      </c>
      <c r="D46">
        <v>32476</v>
      </c>
      <c r="E46">
        <v>25545</v>
      </c>
      <c r="F46" s="23">
        <f t="shared" si="0"/>
        <v>1.2713251125464866</v>
      </c>
    </row>
    <row r="47" spans="1:6" x14ac:dyDescent="0.35">
      <c r="A47" t="str">
        <f>IFERROR(_xlfn.XLOOKUP(MonthlySalesData!D47,EmployeeMaster!A:A,EmployeeMaster!B:B,0),0)</f>
        <v>Christi Davis</v>
      </c>
      <c r="B47" t="str">
        <f>IFERROR(_xlfn.XLOOKUP(MonthlySalesData!D47,EmployeeMaster!A:A,EmployeeMaster!D:D,0),0)</f>
        <v>Ops Manager</v>
      </c>
      <c r="C47" t="str">
        <f>IFERROR(_xlfn.XLOOKUP(MonthlySalesData!D47,EmployeeMaster!A:A,EmployeeMaster!E:E,0),0)</f>
        <v>West</v>
      </c>
      <c r="D47">
        <v>38208</v>
      </c>
      <c r="E47">
        <v>34422</v>
      </c>
      <c r="F47" s="23">
        <f t="shared" si="0"/>
        <v>1.1099877985009587</v>
      </c>
    </row>
    <row r="48" spans="1:6" x14ac:dyDescent="0.35">
      <c r="A48" t="str">
        <f>IFERROR(_xlfn.XLOOKUP(MonthlySalesData!D48,EmployeeMaster!A:A,EmployeeMaster!B:B,0),0)</f>
        <v>Martina Brands</v>
      </c>
      <c r="B48" t="str">
        <f>IFERROR(_xlfn.XLOOKUP(MonthlySalesData!D48,EmployeeMaster!A:A,EmployeeMaster!D:D,0),0)</f>
        <v>Brand Manager</v>
      </c>
      <c r="C48" t="str">
        <f>IFERROR(_xlfn.XLOOKUP(MonthlySalesData!D48,EmployeeMaster!A:A,EmployeeMaster!E:E,0),0)</f>
        <v>North</v>
      </c>
      <c r="D48">
        <v>39835</v>
      </c>
      <c r="E48">
        <v>37256</v>
      </c>
      <c r="F48" s="23">
        <f t="shared" si="0"/>
        <v>1.0692237491947605</v>
      </c>
    </row>
    <row r="49" spans="1:6" x14ac:dyDescent="0.35">
      <c r="A49" t="str">
        <f>IFERROR(_xlfn.XLOOKUP(MonthlySalesData!D49,EmployeeMaster!A:A,EmployeeMaster!B:B,0),0)</f>
        <v>John Taylor</v>
      </c>
      <c r="B49" t="str">
        <f>IFERROR(_xlfn.XLOOKUP(MonthlySalesData!D49,EmployeeMaster!A:A,EmployeeMaster!D:D,0),0)</f>
        <v>Sales Manager</v>
      </c>
      <c r="C49" t="str">
        <f>IFERROR(_xlfn.XLOOKUP(MonthlySalesData!D49,EmployeeMaster!A:A,EmployeeMaster!E:E,0),0)</f>
        <v>East</v>
      </c>
      <c r="D49">
        <v>60500</v>
      </c>
      <c r="E49">
        <v>64672</v>
      </c>
      <c r="F49" s="23">
        <f t="shared" si="0"/>
        <v>0.93548985650667982</v>
      </c>
    </row>
    <row r="50" spans="1:6" x14ac:dyDescent="0.35">
      <c r="A50" t="str">
        <f>IFERROR(_xlfn.XLOOKUP(MonthlySalesData!D50,EmployeeMaster!A:A,EmployeeMaster!B:B,0),0)</f>
        <v>Lynda Smith</v>
      </c>
      <c r="B50" t="str">
        <f>IFERROR(_xlfn.XLOOKUP(MonthlySalesData!D50,EmployeeMaster!A:A,EmployeeMaster!D:D,0),0)</f>
        <v>Sales Executive</v>
      </c>
      <c r="C50" t="str">
        <f>IFERROR(_xlfn.XLOOKUP(MonthlySalesData!D50,EmployeeMaster!A:A,EmployeeMaster!E:E,0),0)</f>
        <v>North</v>
      </c>
      <c r="D50">
        <v>48700</v>
      </c>
      <c r="E50">
        <v>41354</v>
      </c>
      <c r="F50" s="23">
        <f t="shared" si="0"/>
        <v>1.1776369879576341</v>
      </c>
    </row>
    <row r="51" spans="1:6" x14ac:dyDescent="0.35">
      <c r="A51" t="str">
        <f>IFERROR(_xlfn.XLOOKUP(MonthlySalesData!D51,EmployeeMaster!A:A,EmployeeMaster!B:B,0),0)</f>
        <v>Martina Brands</v>
      </c>
      <c r="B51" t="str">
        <f>IFERROR(_xlfn.XLOOKUP(MonthlySalesData!D51,EmployeeMaster!A:A,EmployeeMaster!D:D,0),0)</f>
        <v>Brand Manager</v>
      </c>
      <c r="C51" t="str">
        <f>IFERROR(_xlfn.XLOOKUP(MonthlySalesData!D51,EmployeeMaster!A:A,EmployeeMaster!E:E,0),0)</f>
        <v>North</v>
      </c>
      <c r="D51">
        <v>76092</v>
      </c>
      <c r="E51">
        <v>77590</v>
      </c>
      <c r="F51" s="23">
        <f t="shared" si="0"/>
        <v>0.98069338832323749</v>
      </c>
    </row>
    <row r="52" spans="1:6" x14ac:dyDescent="0.35">
      <c r="A52" t="str">
        <f>IFERROR(_xlfn.XLOOKUP(MonthlySalesData!D52,EmployeeMaster!A:A,EmployeeMaster!B:B,0),0)</f>
        <v>Ronn Robinson</v>
      </c>
      <c r="B52" t="str">
        <f>IFERROR(_xlfn.XLOOKUP(MonthlySalesData!D52,EmployeeMaster!A:A,EmployeeMaster!D:D,0),0)</f>
        <v>Sr. Sales Exec.</v>
      </c>
      <c r="C52" t="str">
        <f>IFERROR(_xlfn.XLOOKUP(MonthlySalesData!D52,EmployeeMaster!A:A,EmployeeMaster!E:E,0),0)</f>
        <v>East</v>
      </c>
      <c r="D52">
        <v>44088</v>
      </c>
      <c r="E52">
        <v>42692</v>
      </c>
      <c r="F52" s="23">
        <f t="shared" si="0"/>
        <v>1.0326993347699802</v>
      </c>
    </row>
    <row r="53" spans="1:6" x14ac:dyDescent="0.35">
      <c r="A53" t="str">
        <f>IFERROR(_xlfn.XLOOKUP(MonthlySalesData!D53,EmployeeMaster!A:A,EmployeeMaster!B:B,0),0)</f>
        <v>Joe Lyn</v>
      </c>
      <c r="B53" t="str">
        <f>IFERROR(_xlfn.XLOOKUP(MonthlySalesData!D53,EmployeeMaster!A:A,EmployeeMaster!D:D,0),0)</f>
        <v>Sales Associate</v>
      </c>
      <c r="C53" t="str">
        <f>IFERROR(_xlfn.XLOOKUP(MonthlySalesData!D53,EmployeeMaster!A:A,EmployeeMaster!E:E,0),0)</f>
        <v>Central</v>
      </c>
      <c r="D53">
        <v>80511</v>
      </c>
      <c r="E53">
        <v>73543</v>
      </c>
      <c r="F53" s="23">
        <f t="shared" si="0"/>
        <v>1.0947472907006786</v>
      </c>
    </row>
    <row r="54" spans="1:6" x14ac:dyDescent="0.35">
      <c r="A54" t="str">
        <f>IFERROR(_xlfn.XLOOKUP(MonthlySalesData!D54,EmployeeMaster!A:A,EmployeeMaster!B:B,0),0)</f>
        <v>John Taylor</v>
      </c>
      <c r="B54" t="str">
        <f>IFERROR(_xlfn.XLOOKUP(MonthlySalesData!D54,EmployeeMaster!A:A,EmployeeMaster!D:D,0),0)</f>
        <v>Sales Manager</v>
      </c>
      <c r="C54" t="str">
        <f>IFERROR(_xlfn.XLOOKUP(MonthlySalesData!D54,EmployeeMaster!A:A,EmployeeMaster!E:E,0),0)</f>
        <v>East</v>
      </c>
      <c r="D54">
        <v>34626</v>
      </c>
      <c r="E54">
        <v>34765</v>
      </c>
      <c r="F54" s="23">
        <f t="shared" si="0"/>
        <v>0.9960017258737236</v>
      </c>
    </row>
    <row r="55" spans="1:6" x14ac:dyDescent="0.35">
      <c r="A55" t="str">
        <f>IFERROR(_xlfn.XLOOKUP(MonthlySalesData!D55,EmployeeMaster!A:A,EmployeeMaster!B:B,0),0)</f>
        <v>Lynda Smith</v>
      </c>
      <c r="B55" t="str">
        <f>IFERROR(_xlfn.XLOOKUP(MonthlySalesData!D55,EmployeeMaster!A:A,EmployeeMaster!D:D,0),0)</f>
        <v>Sales Executive</v>
      </c>
      <c r="C55" t="str">
        <f>IFERROR(_xlfn.XLOOKUP(MonthlySalesData!D55,EmployeeMaster!A:A,EmployeeMaster!E:E,0),0)</f>
        <v>North</v>
      </c>
      <c r="D55">
        <v>42320</v>
      </c>
      <c r="E55">
        <v>46499</v>
      </c>
      <c r="F55" s="23">
        <f t="shared" si="0"/>
        <v>0.91012709950751625</v>
      </c>
    </row>
    <row r="56" spans="1:6" x14ac:dyDescent="0.35">
      <c r="A56" t="str">
        <f>IFERROR(_xlfn.XLOOKUP(MonthlySalesData!D56,EmployeeMaster!A:A,EmployeeMaster!B:B,0),0)</f>
        <v>Ronn Robinson</v>
      </c>
      <c r="B56" t="str">
        <f>IFERROR(_xlfn.XLOOKUP(MonthlySalesData!D56,EmployeeMaster!A:A,EmployeeMaster!D:D,0),0)</f>
        <v>Sr. Sales Exec.</v>
      </c>
      <c r="C56" t="str">
        <f>IFERROR(_xlfn.XLOOKUP(MonthlySalesData!D56,EmployeeMaster!A:A,EmployeeMaster!E:E,0),0)</f>
        <v>East</v>
      </c>
      <c r="D56">
        <v>45609</v>
      </c>
      <c r="E56">
        <v>42289</v>
      </c>
      <c r="F56" s="23">
        <f t="shared" si="0"/>
        <v>1.0785074132753198</v>
      </c>
    </row>
    <row r="57" spans="1:6" x14ac:dyDescent="0.35">
      <c r="A57" t="str">
        <f>IFERROR(_xlfn.XLOOKUP(MonthlySalesData!D57,EmployeeMaster!A:A,EmployeeMaster!B:B,0),0)</f>
        <v>Raj Mehta</v>
      </c>
      <c r="B57" t="str">
        <f>IFERROR(_xlfn.XLOOKUP(MonthlySalesData!D57,EmployeeMaster!A:A,EmployeeMaster!D:D,0),0)</f>
        <v>Marketing Lead</v>
      </c>
      <c r="C57" t="str">
        <f>IFERROR(_xlfn.XLOOKUP(MonthlySalesData!D57,EmployeeMaster!A:A,EmployeeMaster!E:E,0),0)</f>
        <v>South</v>
      </c>
      <c r="D57">
        <v>62002</v>
      </c>
      <c r="E57">
        <v>55940</v>
      </c>
      <c r="F57" s="23">
        <f t="shared" si="0"/>
        <v>1.1083661065427244</v>
      </c>
    </row>
    <row r="58" spans="1:6" x14ac:dyDescent="0.35">
      <c r="A58" t="str">
        <f>IFERROR(_xlfn.XLOOKUP(MonthlySalesData!D58,EmployeeMaster!A:A,EmployeeMaster!B:B,0),0)</f>
        <v>Raj Mehta</v>
      </c>
      <c r="B58" t="str">
        <f>IFERROR(_xlfn.XLOOKUP(MonthlySalesData!D58,EmployeeMaster!A:A,EmployeeMaster!D:D,0),0)</f>
        <v>Marketing Lead</v>
      </c>
      <c r="C58" t="str">
        <f>IFERROR(_xlfn.XLOOKUP(MonthlySalesData!D58,EmployeeMaster!A:A,EmployeeMaster!E:E,0),0)</f>
        <v>South</v>
      </c>
      <c r="D58">
        <v>70112</v>
      </c>
      <c r="E58">
        <v>65627</v>
      </c>
      <c r="F58" s="23">
        <f t="shared" si="0"/>
        <v>1.0683407743764</v>
      </c>
    </row>
    <row r="59" spans="1:6" x14ac:dyDescent="0.35">
      <c r="A59" t="str">
        <f>IFERROR(_xlfn.XLOOKUP(MonthlySalesData!D59,EmployeeMaster!A:A,EmployeeMaster!B:B,0),0)</f>
        <v>Raj Mehta</v>
      </c>
      <c r="B59" t="str">
        <f>IFERROR(_xlfn.XLOOKUP(MonthlySalesData!D59,EmployeeMaster!A:A,EmployeeMaster!D:D,0),0)</f>
        <v>Marketing Lead</v>
      </c>
      <c r="C59" t="str">
        <f>IFERROR(_xlfn.XLOOKUP(MonthlySalesData!D59,EmployeeMaster!A:A,EmployeeMaster!E:E,0),0)</f>
        <v>South</v>
      </c>
      <c r="D59">
        <v>76958</v>
      </c>
      <c r="E59">
        <v>72396</v>
      </c>
      <c r="F59" s="23">
        <f t="shared" si="0"/>
        <v>1.0630145311895685</v>
      </c>
    </row>
    <row r="60" spans="1:6" x14ac:dyDescent="0.35">
      <c r="A60" t="str">
        <f>IFERROR(_xlfn.XLOOKUP(MonthlySalesData!D60,EmployeeMaster!A:A,EmployeeMaster!B:B,0),0)</f>
        <v>Fatima Zhang</v>
      </c>
      <c r="B60" t="str">
        <f>IFERROR(_xlfn.XLOOKUP(MonthlySalesData!D60,EmployeeMaster!A:A,EmployeeMaster!D:D,0),0)</f>
        <v>Sales Executive</v>
      </c>
      <c r="C60" t="str">
        <f>IFERROR(_xlfn.XLOOKUP(MonthlySalesData!D60,EmployeeMaster!A:A,EmployeeMaster!E:E,0),0)</f>
        <v>South</v>
      </c>
      <c r="D60">
        <v>43524</v>
      </c>
      <c r="E60">
        <v>37552</v>
      </c>
      <c r="F60" s="23">
        <f t="shared" si="0"/>
        <v>1.1590328078397956</v>
      </c>
    </row>
    <row r="61" spans="1:6" x14ac:dyDescent="0.35">
      <c r="A61" t="str">
        <f>IFERROR(_xlfn.XLOOKUP(MonthlySalesData!D61,EmployeeMaster!A:A,EmployeeMaster!B:B,0),0)</f>
        <v>Christi Davis</v>
      </c>
      <c r="B61" t="str">
        <f>IFERROR(_xlfn.XLOOKUP(MonthlySalesData!D61,EmployeeMaster!A:A,EmployeeMaster!D:D,0),0)</f>
        <v>Ops Manager</v>
      </c>
      <c r="C61" t="str">
        <f>IFERROR(_xlfn.XLOOKUP(MonthlySalesData!D61,EmployeeMaster!A:A,EmployeeMaster!E:E,0),0)</f>
        <v>West</v>
      </c>
      <c r="D61">
        <v>50580</v>
      </c>
      <c r="E61">
        <v>53436</v>
      </c>
      <c r="F61" s="23">
        <f t="shared" si="0"/>
        <v>0.94655288569503704</v>
      </c>
    </row>
    <row r="62" spans="1:6" x14ac:dyDescent="0.35">
      <c r="A62" t="str">
        <f>IFERROR(_xlfn.XLOOKUP(MonthlySalesData!D62,EmployeeMaster!A:A,EmployeeMaster!B:B,0),0)</f>
        <v>Joe Lyn</v>
      </c>
      <c r="B62" t="str">
        <f>IFERROR(_xlfn.XLOOKUP(MonthlySalesData!D62,EmployeeMaster!A:A,EmployeeMaster!D:D,0),0)</f>
        <v>Sales Associate</v>
      </c>
      <c r="C62" t="str">
        <f>IFERROR(_xlfn.XLOOKUP(MonthlySalesData!D62,EmployeeMaster!A:A,EmployeeMaster!E:E,0),0)</f>
        <v>Central</v>
      </c>
      <c r="D62">
        <v>64827</v>
      </c>
      <c r="E62">
        <v>57509</v>
      </c>
      <c r="F62" s="23">
        <f t="shared" si="0"/>
        <v>1.1272496478812013</v>
      </c>
    </row>
    <row r="63" spans="1:6" x14ac:dyDescent="0.35">
      <c r="A63" t="str">
        <f>IFERROR(_xlfn.XLOOKUP(MonthlySalesData!D63,EmployeeMaster!A:A,EmployeeMaster!B:B,0),0)</f>
        <v>John Taylor</v>
      </c>
      <c r="B63" t="str">
        <f>IFERROR(_xlfn.XLOOKUP(MonthlySalesData!D63,EmployeeMaster!A:A,EmployeeMaster!D:D,0),0)</f>
        <v>Sales Manager</v>
      </c>
      <c r="C63" t="str">
        <f>IFERROR(_xlfn.XLOOKUP(MonthlySalesData!D63,EmployeeMaster!A:A,EmployeeMaster!E:E,0),0)</f>
        <v>East</v>
      </c>
      <c r="D63">
        <v>92984</v>
      </c>
      <c r="E63">
        <v>96346</v>
      </c>
      <c r="F63" s="23">
        <f t="shared" si="0"/>
        <v>0.96510493429929634</v>
      </c>
    </row>
    <row r="64" spans="1:6" x14ac:dyDescent="0.35">
      <c r="A64" t="str">
        <f>IFERROR(_xlfn.XLOOKUP(MonthlySalesData!D64,EmployeeMaster!A:A,EmployeeMaster!B:B,0),0)</f>
        <v>Christi Davis</v>
      </c>
      <c r="B64" t="str">
        <f>IFERROR(_xlfn.XLOOKUP(MonthlySalesData!D64,EmployeeMaster!A:A,EmployeeMaster!D:D,0),0)</f>
        <v>Ops Manager</v>
      </c>
      <c r="C64" t="str">
        <f>IFERROR(_xlfn.XLOOKUP(MonthlySalesData!D64,EmployeeMaster!A:A,EmployeeMaster!E:E,0),0)</f>
        <v>West</v>
      </c>
      <c r="D64">
        <v>66092</v>
      </c>
      <c r="E64">
        <v>68922</v>
      </c>
      <c r="F64" s="23">
        <f t="shared" si="0"/>
        <v>0.95893909056614723</v>
      </c>
    </row>
    <row r="65" spans="1:6" x14ac:dyDescent="0.35">
      <c r="A65" t="str">
        <f>IFERROR(_xlfn.XLOOKUP(MonthlySalesData!D65,EmployeeMaster!A:A,EmployeeMaster!B:B,0),0)</f>
        <v>Christi Davis</v>
      </c>
      <c r="B65" t="str">
        <f>IFERROR(_xlfn.XLOOKUP(MonthlySalesData!D65,EmployeeMaster!A:A,EmployeeMaster!D:D,0),0)</f>
        <v>Ops Manager</v>
      </c>
      <c r="C65" t="str">
        <f>IFERROR(_xlfn.XLOOKUP(MonthlySalesData!D65,EmployeeMaster!A:A,EmployeeMaster!E:E,0),0)</f>
        <v>West</v>
      </c>
      <c r="D65">
        <v>55513</v>
      </c>
      <c r="E65">
        <v>57929</v>
      </c>
      <c r="F65" s="23">
        <f t="shared" si="0"/>
        <v>0.9582937734122805</v>
      </c>
    </row>
    <row r="66" spans="1:6" x14ac:dyDescent="0.35">
      <c r="A66" t="str">
        <f>IFERROR(_xlfn.XLOOKUP(MonthlySalesData!D66,EmployeeMaster!A:A,EmployeeMaster!B:B,0),0)</f>
        <v>Joe Lyn</v>
      </c>
      <c r="B66" t="str">
        <f>IFERROR(_xlfn.XLOOKUP(MonthlySalesData!D66,EmployeeMaster!A:A,EmployeeMaster!D:D,0),0)</f>
        <v>Sales Associate</v>
      </c>
      <c r="C66" t="str">
        <f>IFERROR(_xlfn.XLOOKUP(MonthlySalesData!D66,EmployeeMaster!A:A,EmployeeMaster!E:E,0),0)</f>
        <v>Central</v>
      </c>
      <c r="D66">
        <v>107734</v>
      </c>
      <c r="E66">
        <v>102020</v>
      </c>
      <c r="F66" s="23">
        <f t="shared" si="0"/>
        <v>1.056008625759655</v>
      </c>
    </row>
    <row r="67" spans="1:6" x14ac:dyDescent="0.35">
      <c r="A67" t="str">
        <f>IFERROR(_xlfn.XLOOKUP(MonthlySalesData!D67,EmployeeMaster!A:A,EmployeeMaster!B:B,0),0)</f>
        <v>Joe Lyn</v>
      </c>
      <c r="B67" t="str">
        <f>IFERROR(_xlfn.XLOOKUP(MonthlySalesData!D67,EmployeeMaster!A:A,EmployeeMaster!D:D,0),0)</f>
        <v>Sales Associate</v>
      </c>
      <c r="C67" t="str">
        <f>IFERROR(_xlfn.XLOOKUP(MonthlySalesData!D67,EmployeeMaster!A:A,EmployeeMaster!E:E,0),0)</f>
        <v>Central</v>
      </c>
      <c r="D67">
        <v>50986</v>
      </c>
      <c r="E67">
        <v>41599</v>
      </c>
      <c r="F67" s="23">
        <f t="shared" ref="F67:F101" si="1">IFERROR(D67/E67,0)</f>
        <v>1.2256544628476647</v>
      </c>
    </row>
    <row r="68" spans="1:6" x14ac:dyDescent="0.35">
      <c r="A68" t="str">
        <f>IFERROR(_xlfn.XLOOKUP(MonthlySalesData!D68,EmployeeMaster!A:A,EmployeeMaster!B:B,0),0)</f>
        <v>Raj Mehta</v>
      </c>
      <c r="B68" t="str">
        <f>IFERROR(_xlfn.XLOOKUP(MonthlySalesData!D68,EmployeeMaster!A:A,EmployeeMaster!D:D,0),0)</f>
        <v>Marketing Lead</v>
      </c>
      <c r="C68" t="str">
        <f>IFERROR(_xlfn.XLOOKUP(MonthlySalesData!D68,EmployeeMaster!A:A,EmployeeMaster!E:E,0),0)</f>
        <v>South</v>
      </c>
      <c r="D68">
        <v>45760</v>
      </c>
      <c r="E68">
        <v>41696</v>
      </c>
      <c r="F68" s="23">
        <f t="shared" si="1"/>
        <v>1.0974673829623944</v>
      </c>
    </row>
    <row r="69" spans="1:6" x14ac:dyDescent="0.35">
      <c r="A69" t="str">
        <f>IFERROR(_xlfn.XLOOKUP(MonthlySalesData!D69,EmployeeMaster!A:A,EmployeeMaster!B:B,0),0)</f>
        <v>Joe Lyn</v>
      </c>
      <c r="B69" t="str">
        <f>IFERROR(_xlfn.XLOOKUP(MonthlySalesData!D69,EmployeeMaster!A:A,EmployeeMaster!D:D,0),0)</f>
        <v>Sales Associate</v>
      </c>
      <c r="C69" t="str">
        <f>IFERROR(_xlfn.XLOOKUP(MonthlySalesData!D69,EmployeeMaster!A:A,EmployeeMaster!E:E,0),0)</f>
        <v>Central</v>
      </c>
      <c r="D69">
        <v>70470</v>
      </c>
      <c r="E69">
        <v>63713</v>
      </c>
      <c r="F69" s="23">
        <f t="shared" si="1"/>
        <v>1.1060537096040055</v>
      </c>
    </row>
    <row r="70" spans="1:6" x14ac:dyDescent="0.35">
      <c r="A70" t="str">
        <f>IFERROR(_xlfn.XLOOKUP(MonthlySalesData!D70,EmployeeMaster!A:A,EmployeeMaster!B:B,0),0)</f>
        <v>Joe Lyn</v>
      </c>
      <c r="B70" t="str">
        <f>IFERROR(_xlfn.XLOOKUP(MonthlySalesData!D70,EmployeeMaster!A:A,EmployeeMaster!D:D,0),0)</f>
        <v>Sales Associate</v>
      </c>
      <c r="C70" t="str">
        <f>IFERROR(_xlfn.XLOOKUP(MonthlySalesData!D70,EmployeeMaster!A:A,EmployeeMaster!E:E,0),0)</f>
        <v>Central</v>
      </c>
      <c r="D70">
        <v>78000</v>
      </c>
      <c r="E70">
        <v>78886</v>
      </c>
      <c r="F70" s="23">
        <f t="shared" si="1"/>
        <v>0.9887686027939051</v>
      </c>
    </row>
    <row r="71" spans="1:6" x14ac:dyDescent="0.35">
      <c r="A71" t="str">
        <f>IFERROR(_xlfn.XLOOKUP(MonthlySalesData!D71,EmployeeMaster!A:A,EmployeeMaster!B:B,0),0)</f>
        <v>Martina Brands</v>
      </c>
      <c r="B71" t="str">
        <f>IFERROR(_xlfn.XLOOKUP(MonthlySalesData!D71,EmployeeMaster!A:A,EmployeeMaster!D:D,0),0)</f>
        <v>Brand Manager</v>
      </c>
      <c r="C71" t="str">
        <f>IFERROR(_xlfn.XLOOKUP(MonthlySalesData!D71,EmployeeMaster!A:A,EmployeeMaster!E:E,0),0)</f>
        <v>North</v>
      </c>
      <c r="D71">
        <v>38665</v>
      </c>
      <c r="E71">
        <v>43607</v>
      </c>
      <c r="F71" s="23">
        <f t="shared" si="1"/>
        <v>0.88666957139908731</v>
      </c>
    </row>
    <row r="72" spans="1:6" x14ac:dyDescent="0.35">
      <c r="A72" t="str">
        <f>IFERROR(_xlfn.XLOOKUP(MonthlySalesData!D72,EmployeeMaster!A:A,EmployeeMaster!B:B,0),0)</f>
        <v>Joe Lyn</v>
      </c>
      <c r="B72" t="str">
        <f>IFERROR(_xlfn.XLOOKUP(MonthlySalesData!D72,EmployeeMaster!A:A,EmployeeMaster!D:D,0),0)</f>
        <v>Sales Associate</v>
      </c>
      <c r="C72" t="str">
        <f>IFERROR(_xlfn.XLOOKUP(MonthlySalesData!D72,EmployeeMaster!A:A,EmployeeMaster!E:E,0),0)</f>
        <v>Central</v>
      </c>
      <c r="D72">
        <v>52770</v>
      </c>
      <c r="E72">
        <v>50531</v>
      </c>
      <c r="F72" s="23">
        <f t="shared" si="1"/>
        <v>1.0443094338129069</v>
      </c>
    </row>
    <row r="73" spans="1:6" x14ac:dyDescent="0.35">
      <c r="A73" t="str">
        <f>IFERROR(_xlfn.XLOOKUP(MonthlySalesData!D73,EmployeeMaster!A:A,EmployeeMaster!B:B,0),0)</f>
        <v>Martina Brands</v>
      </c>
      <c r="B73" t="str">
        <f>IFERROR(_xlfn.XLOOKUP(MonthlySalesData!D73,EmployeeMaster!A:A,EmployeeMaster!D:D,0),0)</f>
        <v>Brand Manager</v>
      </c>
      <c r="C73" t="str">
        <f>IFERROR(_xlfn.XLOOKUP(MonthlySalesData!D73,EmployeeMaster!A:A,EmployeeMaster!E:E,0),0)</f>
        <v>North</v>
      </c>
      <c r="D73">
        <v>55495</v>
      </c>
      <c r="E73">
        <v>58663</v>
      </c>
      <c r="F73" s="23">
        <f t="shared" si="1"/>
        <v>0.94599662478904933</v>
      </c>
    </row>
    <row r="74" spans="1:6" x14ac:dyDescent="0.35">
      <c r="A74" t="str">
        <f>IFERROR(_xlfn.XLOOKUP(MonthlySalesData!D74,EmployeeMaster!A:A,EmployeeMaster!B:B,0),0)</f>
        <v>Ronn Robinson</v>
      </c>
      <c r="B74" t="str">
        <f>IFERROR(_xlfn.XLOOKUP(MonthlySalesData!D74,EmployeeMaster!A:A,EmployeeMaster!D:D,0),0)</f>
        <v>Sr. Sales Exec.</v>
      </c>
      <c r="C74" t="str">
        <f>IFERROR(_xlfn.XLOOKUP(MonthlySalesData!D74,EmployeeMaster!A:A,EmployeeMaster!E:E,0),0)</f>
        <v>East</v>
      </c>
      <c r="D74">
        <v>55944</v>
      </c>
      <c r="E74">
        <v>47270</v>
      </c>
      <c r="F74" s="23">
        <f t="shared" si="1"/>
        <v>1.1834990480220013</v>
      </c>
    </row>
    <row r="75" spans="1:6" x14ac:dyDescent="0.35">
      <c r="A75" t="str">
        <f>IFERROR(_xlfn.XLOOKUP(MonthlySalesData!D75,EmployeeMaster!A:A,EmployeeMaster!B:B,0),0)</f>
        <v>Ronn Robinson</v>
      </c>
      <c r="B75" t="str">
        <f>IFERROR(_xlfn.XLOOKUP(MonthlySalesData!D75,EmployeeMaster!A:A,EmployeeMaster!D:D,0),0)</f>
        <v>Sr. Sales Exec.</v>
      </c>
      <c r="C75" t="str">
        <f>IFERROR(_xlfn.XLOOKUP(MonthlySalesData!D75,EmployeeMaster!A:A,EmployeeMaster!E:E,0),0)</f>
        <v>East</v>
      </c>
      <c r="D75">
        <v>53110</v>
      </c>
      <c r="E75">
        <v>57425</v>
      </c>
      <c r="F75" s="23">
        <f t="shared" si="1"/>
        <v>0.92485851110143669</v>
      </c>
    </row>
    <row r="76" spans="1:6" x14ac:dyDescent="0.35">
      <c r="A76" t="str">
        <f>IFERROR(_xlfn.XLOOKUP(MonthlySalesData!D76,EmployeeMaster!A:A,EmployeeMaster!B:B,0),0)</f>
        <v>Lynda Smith</v>
      </c>
      <c r="B76" t="str">
        <f>IFERROR(_xlfn.XLOOKUP(MonthlySalesData!D76,EmployeeMaster!A:A,EmployeeMaster!D:D,0),0)</f>
        <v>Sales Executive</v>
      </c>
      <c r="C76" t="str">
        <f>IFERROR(_xlfn.XLOOKUP(MonthlySalesData!D76,EmployeeMaster!A:A,EmployeeMaster!E:E,0),0)</f>
        <v>North</v>
      </c>
      <c r="D76">
        <v>51030</v>
      </c>
      <c r="E76">
        <v>44856</v>
      </c>
      <c r="F76" s="23">
        <f t="shared" si="1"/>
        <v>1.1376404494382022</v>
      </c>
    </row>
    <row r="77" spans="1:6" x14ac:dyDescent="0.35">
      <c r="A77" t="str">
        <f>IFERROR(_xlfn.XLOOKUP(MonthlySalesData!D77,EmployeeMaster!A:A,EmployeeMaster!B:B,0),0)</f>
        <v>Raj Mehta</v>
      </c>
      <c r="B77" t="str">
        <f>IFERROR(_xlfn.XLOOKUP(MonthlySalesData!D77,EmployeeMaster!A:A,EmployeeMaster!D:D,0),0)</f>
        <v>Marketing Lead</v>
      </c>
      <c r="C77" t="str">
        <f>IFERROR(_xlfn.XLOOKUP(MonthlySalesData!D77,EmployeeMaster!A:A,EmployeeMaster!E:E,0),0)</f>
        <v>South</v>
      </c>
      <c r="D77">
        <v>75516</v>
      </c>
      <c r="E77">
        <v>71343</v>
      </c>
      <c r="F77" s="23">
        <f t="shared" si="1"/>
        <v>1.0584920735040579</v>
      </c>
    </row>
    <row r="78" spans="1:6" x14ac:dyDescent="0.35">
      <c r="A78" t="str">
        <f>IFERROR(_xlfn.XLOOKUP(MonthlySalesData!D78,EmployeeMaster!A:A,EmployeeMaster!B:B,0),0)</f>
        <v>Ronn Robinson</v>
      </c>
      <c r="B78" t="str">
        <f>IFERROR(_xlfn.XLOOKUP(MonthlySalesData!D78,EmployeeMaster!A:A,EmployeeMaster!D:D,0),0)</f>
        <v>Sr. Sales Exec.</v>
      </c>
      <c r="C78" t="str">
        <f>IFERROR(_xlfn.XLOOKUP(MonthlySalesData!D78,EmployeeMaster!A:A,EmployeeMaster!E:E,0),0)</f>
        <v>East</v>
      </c>
      <c r="D78">
        <v>65975</v>
      </c>
      <c r="E78">
        <v>68313</v>
      </c>
      <c r="F78" s="23">
        <f t="shared" si="1"/>
        <v>0.96577518188338973</v>
      </c>
    </row>
    <row r="79" spans="1:6" x14ac:dyDescent="0.35">
      <c r="A79" t="str">
        <f>IFERROR(_xlfn.XLOOKUP(MonthlySalesData!D79,EmployeeMaster!A:A,EmployeeMaster!B:B,0),0)</f>
        <v>Lynda Smith</v>
      </c>
      <c r="B79" t="str">
        <f>IFERROR(_xlfn.XLOOKUP(MonthlySalesData!D79,EmployeeMaster!A:A,EmployeeMaster!D:D,0),0)</f>
        <v>Sales Executive</v>
      </c>
      <c r="C79" t="str">
        <f>IFERROR(_xlfn.XLOOKUP(MonthlySalesData!D79,EmployeeMaster!A:A,EmployeeMaster!E:E,0),0)</f>
        <v>North</v>
      </c>
      <c r="D79">
        <v>54374</v>
      </c>
      <c r="E79">
        <v>53932</v>
      </c>
      <c r="F79" s="23">
        <f t="shared" si="1"/>
        <v>1.008195505451309</v>
      </c>
    </row>
    <row r="80" spans="1:6" x14ac:dyDescent="0.35">
      <c r="A80" t="str">
        <f>IFERROR(_xlfn.XLOOKUP(MonthlySalesData!D80,EmployeeMaster!A:A,EmployeeMaster!B:B,0),0)</f>
        <v>Christi Davis</v>
      </c>
      <c r="B80" t="str">
        <f>IFERROR(_xlfn.XLOOKUP(MonthlySalesData!D80,EmployeeMaster!A:A,EmployeeMaster!D:D,0),0)</f>
        <v>Ops Manager</v>
      </c>
      <c r="C80" t="str">
        <f>IFERROR(_xlfn.XLOOKUP(MonthlySalesData!D80,EmployeeMaster!A:A,EmployeeMaster!E:E,0),0)</f>
        <v>West</v>
      </c>
      <c r="D80">
        <v>43031</v>
      </c>
      <c r="E80">
        <v>35131</v>
      </c>
      <c r="F80" s="23">
        <f t="shared" si="1"/>
        <v>1.2248726196236941</v>
      </c>
    </row>
    <row r="81" spans="1:6" x14ac:dyDescent="0.35">
      <c r="A81" t="str">
        <f>IFERROR(_xlfn.XLOOKUP(MonthlySalesData!D81,EmployeeMaster!A:A,EmployeeMaster!B:B,0),0)</f>
        <v>Martina Brands</v>
      </c>
      <c r="B81" t="str">
        <f>IFERROR(_xlfn.XLOOKUP(MonthlySalesData!D81,EmployeeMaster!A:A,EmployeeMaster!D:D,0),0)</f>
        <v>Brand Manager</v>
      </c>
      <c r="C81" t="str">
        <f>IFERROR(_xlfn.XLOOKUP(MonthlySalesData!D81,EmployeeMaster!A:A,EmployeeMaster!E:E,0),0)</f>
        <v>North</v>
      </c>
      <c r="D81">
        <v>41338</v>
      </c>
      <c r="E81">
        <v>38627</v>
      </c>
      <c r="F81" s="23">
        <f t="shared" si="1"/>
        <v>1.0701840681388666</v>
      </c>
    </row>
    <row r="82" spans="1:6" x14ac:dyDescent="0.35">
      <c r="A82" t="str">
        <f>IFERROR(_xlfn.XLOOKUP(MonthlySalesData!D82,EmployeeMaster!A:A,EmployeeMaster!B:B,0),0)</f>
        <v>John Taylor</v>
      </c>
      <c r="B82" t="str">
        <f>IFERROR(_xlfn.XLOOKUP(MonthlySalesData!D82,EmployeeMaster!A:A,EmployeeMaster!D:D,0),0)</f>
        <v>Sales Manager</v>
      </c>
      <c r="C82" t="str">
        <f>IFERROR(_xlfn.XLOOKUP(MonthlySalesData!D82,EmployeeMaster!A:A,EmployeeMaster!E:E,0),0)</f>
        <v>East</v>
      </c>
      <c r="D82">
        <v>55104</v>
      </c>
      <c r="E82">
        <v>46661</v>
      </c>
      <c r="F82" s="23">
        <f t="shared" si="1"/>
        <v>1.1809434002700328</v>
      </c>
    </row>
    <row r="83" spans="1:6" x14ac:dyDescent="0.35">
      <c r="A83" t="str">
        <f>IFERROR(_xlfn.XLOOKUP(MonthlySalesData!D83,EmployeeMaster!A:A,EmployeeMaster!B:B,0),0)</f>
        <v>Lynda Smith</v>
      </c>
      <c r="B83" t="str">
        <f>IFERROR(_xlfn.XLOOKUP(MonthlySalesData!D83,EmployeeMaster!A:A,EmployeeMaster!D:D,0),0)</f>
        <v>Sales Executive</v>
      </c>
      <c r="C83" t="str">
        <f>IFERROR(_xlfn.XLOOKUP(MonthlySalesData!D83,EmployeeMaster!A:A,EmployeeMaster!E:E,0),0)</f>
        <v>North</v>
      </c>
      <c r="D83">
        <v>45056</v>
      </c>
      <c r="E83">
        <v>44678</v>
      </c>
      <c r="F83" s="23">
        <f t="shared" si="1"/>
        <v>1.0084605398630198</v>
      </c>
    </row>
    <row r="84" spans="1:6" x14ac:dyDescent="0.35">
      <c r="A84" t="str">
        <f>IFERROR(_xlfn.XLOOKUP(MonthlySalesData!D84,EmployeeMaster!A:A,EmployeeMaster!B:B,0),0)</f>
        <v>Joe Lyn</v>
      </c>
      <c r="B84" t="str">
        <f>IFERROR(_xlfn.XLOOKUP(MonthlySalesData!D84,EmployeeMaster!A:A,EmployeeMaster!D:D,0),0)</f>
        <v>Sales Associate</v>
      </c>
      <c r="C84" t="str">
        <f>IFERROR(_xlfn.XLOOKUP(MonthlySalesData!D84,EmployeeMaster!A:A,EmployeeMaster!E:E,0),0)</f>
        <v>Central</v>
      </c>
      <c r="D84">
        <v>69552</v>
      </c>
      <c r="E84">
        <v>66206</v>
      </c>
      <c r="F84" s="23">
        <f t="shared" si="1"/>
        <v>1.0505392260520194</v>
      </c>
    </row>
    <row r="85" spans="1:6" x14ac:dyDescent="0.35">
      <c r="A85" t="str">
        <f>IFERROR(_xlfn.XLOOKUP(MonthlySalesData!D85,EmployeeMaster!A:A,EmployeeMaster!B:B,0),0)</f>
        <v>Fatima Zhang</v>
      </c>
      <c r="B85" t="str">
        <f>IFERROR(_xlfn.XLOOKUP(MonthlySalesData!D85,EmployeeMaster!A:A,EmployeeMaster!D:D,0),0)</f>
        <v>Sales Executive</v>
      </c>
      <c r="C85" t="str">
        <f>IFERROR(_xlfn.XLOOKUP(MonthlySalesData!D85,EmployeeMaster!A:A,EmployeeMaster!E:E,0),0)</f>
        <v>South</v>
      </c>
      <c r="D85">
        <v>23478</v>
      </c>
      <c r="E85">
        <v>14109</v>
      </c>
      <c r="F85" s="23">
        <f t="shared" si="1"/>
        <v>1.6640442270890921</v>
      </c>
    </row>
    <row r="86" spans="1:6" x14ac:dyDescent="0.35">
      <c r="A86" t="str">
        <f>IFERROR(_xlfn.XLOOKUP(MonthlySalesData!D86,EmployeeMaster!A:A,EmployeeMaster!B:B,0),0)</f>
        <v>Joe Lyn</v>
      </c>
      <c r="B86" t="str">
        <f>IFERROR(_xlfn.XLOOKUP(MonthlySalesData!D86,EmployeeMaster!A:A,EmployeeMaster!D:D,0),0)</f>
        <v>Sales Associate</v>
      </c>
      <c r="C86" t="str">
        <f>IFERROR(_xlfn.XLOOKUP(MonthlySalesData!D86,EmployeeMaster!A:A,EmployeeMaster!E:E,0),0)</f>
        <v>Central</v>
      </c>
      <c r="D86">
        <v>24442</v>
      </c>
      <c r="E86">
        <v>19668</v>
      </c>
      <c r="F86" s="23">
        <f t="shared" si="1"/>
        <v>1.2427293064876956</v>
      </c>
    </row>
    <row r="87" spans="1:6" x14ac:dyDescent="0.35">
      <c r="A87" t="str">
        <f>IFERROR(_xlfn.XLOOKUP(MonthlySalesData!D87,EmployeeMaster!A:A,EmployeeMaster!B:B,0),0)</f>
        <v>Fatima Zhang</v>
      </c>
      <c r="B87" t="str">
        <f>IFERROR(_xlfn.XLOOKUP(MonthlySalesData!D87,EmployeeMaster!A:A,EmployeeMaster!D:D,0),0)</f>
        <v>Sales Executive</v>
      </c>
      <c r="C87" t="str">
        <f>IFERROR(_xlfn.XLOOKUP(MonthlySalesData!D87,EmployeeMaster!A:A,EmployeeMaster!E:E,0),0)</f>
        <v>South</v>
      </c>
      <c r="D87">
        <v>76140</v>
      </c>
      <c r="E87">
        <v>72761</v>
      </c>
      <c r="F87" s="23">
        <f t="shared" si="1"/>
        <v>1.0464397135828261</v>
      </c>
    </row>
    <row r="88" spans="1:6" x14ac:dyDescent="0.35">
      <c r="A88" t="str">
        <f>IFERROR(_xlfn.XLOOKUP(MonthlySalesData!D88,EmployeeMaster!A:A,EmployeeMaster!B:B,0),0)</f>
        <v>Christi Davis</v>
      </c>
      <c r="B88" t="str">
        <f>IFERROR(_xlfn.XLOOKUP(MonthlySalesData!D88,EmployeeMaster!A:A,EmployeeMaster!D:D,0),0)</f>
        <v>Ops Manager</v>
      </c>
      <c r="C88" t="str">
        <f>IFERROR(_xlfn.XLOOKUP(MonthlySalesData!D88,EmployeeMaster!A:A,EmployeeMaster!E:E,0),0)</f>
        <v>West</v>
      </c>
      <c r="D88">
        <v>37620</v>
      </c>
      <c r="E88">
        <v>31008</v>
      </c>
      <c r="F88" s="23">
        <f t="shared" si="1"/>
        <v>1.213235294117647</v>
      </c>
    </row>
    <row r="89" spans="1:6" x14ac:dyDescent="0.35">
      <c r="A89" t="str">
        <f>IFERROR(_xlfn.XLOOKUP(MonthlySalesData!D89,EmployeeMaster!A:A,EmployeeMaster!B:B,0),0)</f>
        <v>Christi Davis</v>
      </c>
      <c r="B89" t="str">
        <f>IFERROR(_xlfn.XLOOKUP(MonthlySalesData!D89,EmployeeMaster!A:A,EmployeeMaster!D:D,0),0)</f>
        <v>Ops Manager</v>
      </c>
      <c r="C89" t="str">
        <f>IFERROR(_xlfn.XLOOKUP(MonthlySalesData!D89,EmployeeMaster!A:A,EmployeeMaster!E:E,0),0)</f>
        <v>West</v>
      </c>
      <c r="D89">
        <v>61963</v>
      </c>
      <c r="E89">
        <v>65817</v>
      </c>
      <c r="F89" s="23">
        <f t="shared" si="1"/>
        <v>0.94144369995593846</v>
      </c>
    </row>
    <row r="90" spans="1:6" x14ac:dyDescent="0.35">
      <c r="A90" t="str">
        <f>IFERROR(_xlfn.XLOOKUP(MonthlySalesData!D90,EmployeeMaster!A:A,EmployeeMaster!B:B,0),0)</f>
        <v>Fatima Zhang</v>
      </c>
      <c r="B90" t="str">
        <f>IFERROR(_xlfn.XLOOKUP(MonthlySalesData!D90,EmployeeMaster!A:A,EmployeeMaster!D:D,0),0)</f>
        <v>Sales Executive</v>
      </c>
      <c r="C90" t="str">
        <f>IFERROR(_xlfn.XLOOKUP(MonthlySalesData!D90,EmployeeMaster!A:A,EmployeeMaster!E:E,0),0)</f>
        <v>South</v>
      </c>
      <c r="D90">
        <v>46899</v>
      </c>
      <c r="E90">
        <v>37153</v>
      </c>
      <c r="F90" s="23">
        <f t="shared" si="1"/>
        <v>1.2623206739698005</v>
      </c>
    </row>
    <row r="91" spans="1:6" x14ac:dyDescent="0.35">
      <c r="A91" t="str">
        <f>IFERROR(_xlfn.XLOOKUP(MonthlySalesData!D91,EmployeeMaster!A:A,EmployeeMaster!B:B,0),0)</f>
        <v>Joe Lyn</v>
      </c>
      <c r="B91" t="str">
        <f>IFERROR(_xlfn.XLOOKUP(MonthlySalesData!D91,EmployeeMaster!A:A,EmployeeMaster!D:D,0),0)</f>
        <v>Sales Associate</v>
      </c>
      <c r="C91" t="str">
        <f>IFERROR(_xlfn.XLOOKUP(MonthlySalesData!D91,EmployeeMaster!A:A,EmployeeMaster!E:E,0),0)</f>
        <v>Central</v>
      </c>
      <c r="D91">
        <v>61364</v>
      </c>
      <c r="E91">
        <v>59772</v>
      </c>
      <c r="F91" s="23">
        <f t="shared" si="1"/>
        <v>1.026634544602824</v>
      </c>
    </row>
    <row r="92" spans="1:6" x14ac:dyDescent="0.35">
      <c r="A92" t="str">
        <f>IFERROR(_xlfn.XLOOKUP(MonthlySalesData!D92,EmployeeMaster!A:A,EmployeeMaster!B:B,0),0)</f>
        <v>Ronn Robinson</v>
      </c>
      <c r="B92" t="str">
        <f>IFERROR(_xlfn.XLOOKUP(MonthlySalesData!D92,EmployeeMaster!A:A,EmployeeMaster!D:D,0),0)</f>
        <v>Sr. Sales Exec.</v>
      </c>
      <c r="C92" t="str">
        <f>IFERROR(_xlfn.XLOOKUP(MonthlySalesData!D92,EmployeeMaster!A:A,EmployeeMaster!E:E,0),0)</f>
        <v>East</v>
      </c>
      <c r="D92">
        <v>45760</v>
      </c>
      <c r="E92">
        <v>39866</v>
      </c>
      <c r="F92" s="23">
        <f t="shared" si="1"/>
        <v>1.1478452816936737</v>
      </c>
    </row>
    <row r="93" spans="1:6" x14ac:dyDescent="0.35">
      <c r="A93" t="str">
        <f>IFERROR(_xlfn.XLOOKUP(MonthlySalesData!D93,EmployeeMaster!A:A,EmployeeMaster!B:B,0),0)</f>
        <v>Ronn Robinson</v>
      </c>
      <c r="B93" t="str">
        <f>IFERROR(_xlfn.XLOOKUP(MonthlySalesData!D93,EmployeeMaster!A:A,EmployeeMaster!D:D,0),0)</f>
        <v>Sr. Sales Exec.</v>
      </c>
      <c r="C93" t="str">
        <f>IFERROR(_xlfn.XLOOKUP(MonthlySalesData!D93,EmployeeMaster!A:A,EmployeeMaster!E:E,0),0)</f>
        <v>East</v>
      </c>
      <c r="D93">
        <v>93338</v>
      </c>
      <c r="E93">
        <v>93408</v>
      </c>
      <c r="F93" s="23">
        <f t="shared" si="1"/>
        <v>0.99925059952038364</v>
      </c>
    </row>
    <row r="94" spans="1:6" x14ac:dyDescent="0.35">
      <c r="A94" t="str">
        <f>IFERROR(_xlfn.XLOOKUP(MonthlySalesData!D94,EmployeeMaster!A:A,EmployeeMaster!B:B,0),0)</f>
        <v>Lynda Smith</v>
      </c>
      <c r="B94" t="str">
        <f>IFERROR(_xlfn.XLOOKUP(MonthlySalesData!D94,EmployeeMaster!A:A,EmployeeMaster!D:D,0),0)</f>
        <v>Sales Executive</v>
      </c>
      <c r="C94" t="str">
        <f>IFERROR(_xlfn.XLOOKUP(MonthlySalesData!D94,EmployeeMaster!A:A,EmployeeMaster!E:E,0),0)</f>
        <v>North</v>
      </c>
      <c r="D94">
        <v>50427</v>
      </c>
      <c r="E94">
        <v>51984</v>
      </c>
      <c r="F94" s="23">
        <f t="shared" si="1"/>
        <v>0.9700484764542936</v>
      </c>
    </row>
    <row r="95" spans="1:6" x14ac:dyDescent="0.35">
      <c r="A95" t="str">
        <f>IFERROR(_xlfn.XLOOKUP(MonthlySalesData!D95,EmployeeMaster!A:A,EmployeeMaster!B:B,0),0)</f>
        <v>Fatima Zhang</v>
      </c>
      <c r="B95" t="str">
        <f>IFERROR(_xlfn.XLOOKUP(MonthlySalesData!D95,EmployeeMaster!A:A,EmployeeMaster!D:D,0),0)</f>
        <v>Sales Executive</v>
      </c>
      <c r="C95" t="str">
        <f>IFERROR(_xlfn.XLOOKUP(MonthlySalesData!D95,EmployeeMaster!A:A,EmployeeMaster!E:E,0),0)</f>
        <v>South</v>
      </c>
      <c r="D95">
        <v>71148</v>
      </c>
      <c r="E95">
        <v>68904</v>
      </c>
      <c r="F95" s="23">
        <f t="shared" si="1"/>
        <v>1.0325670498084292</v>
      </c>
    </row>
    <row r="96" spans="1:6" x14ac:dyDescent="0.35">
      <c r="A96" t="str">
        <f>IFERROR(_xlfn.XLOOKUP(MonthlySalesData!D96,EmployeeMaster!A:A,EmployeeMaster!B:B,0),0)</f>
        <v>John Taylor</v>
      </c>
      <c r="B96" t="str">
        <f>IFERROR(_xlfn.XLOOKUP(MonthlySalesData!D96,EmployeeMaster!A:A,EmployeeMaster!D:D,0),0)</f>
        <v>Sales Manager</v>
      </c>
      <c r="C96" t="str">
        <f>IFERROR(_xlfn.XLOOKUP(MonthlySalesData!D96,EmployeeMaster!A:A,EmployeeMaster!E:E,0),0)</f>
        <v>East</v>
      </c>
      <c r="D96">
        <v>50220</v>
      </c>
      <c r="E96">
        <v>53831</v>
      </c>
      <c r="F96" s="23">
        <f t="shared" si="1"/>
        <v>0.93291969311363343</v>
      </c>
    </row>
    <row r="97" spans="1:6" x14ac:dyDescent="0.35">
      <c r="A97" t="str">
        <f>IFERROR(_xlfn.XLOOKUP(MonthlySalesData!D97,EmployeeMaster!A:A,EmployeeMaster!B:B,0),0)</f>
        <v>Fatima Zhang</v>
      </c>
      <c r="B97" t="str">
        <f>IFERROR(_xlfn.XLOOKUP(MonthlySalesData!D97,EmployeeMaster!A:A,EmployeeMaster!D:D,0),0)</f>
        <v>Sales Executive</v>
      </c>
      <c r="C97" t="str">
        <f>IFERROR(_xlfn.XLOOKUP(MonthlySalesData!D97,EmployeeMaster!A:A,EmployeeMaster!E:E,0),0)</f>
        <v>South</v>
      </c>
      <c r="D97">
        <v>45950</v>
      </c>
      <c r="E97">
        <v>38644</v>
      </c>
      <c r="F97" s="23">
        <f t="shared" si="1"/>
        <v>1.1890591036124625</v>
      </c>
    </row>
    <row r="98" spans="1:6" x14ac:dyDescent="0.35">
      <c r="A98" t="str">
        <f>IFERROR(_xlfn.XLOOKUP(MonthlySalesData!D98,EmployeeMaster!A:A,EmployeeMaster!B:B,0),0)</f>
        <v>Joe Lyn</v>
      </c>
      <c r="B98" t="str">
        <f>IFERROR(_xlfn.XLOOKUP(MonthlySalesData!D98,EmployeeMaster!A:A,EmployeeMaster!D:D,0),0)</f>
        <v>Sales Associate</v>
      </c>
      <c r="C98" t="str">
        <f>IFERROR(_xlfn.XLOOKUP(MonthlySalesData!D98,EmployeeMaster!A:A,EmployeeMaster!E:E,0),0)</f>
        <v>Central</v>
      </c>
      <c r="D98">
        <v>62050</v>
      </c>
      <c r="E98">
        <v>63788</v>
      </c>
      <c r="F98" s="23">
        <f t="shared" si="1"/>
        <v>0.9727534959553521</v>
      </c>
    </row>
    <row r="99" spans="1:6" x14ac:dyDescent="0.35">
      <c r="A99" t="str">
        <f>IFERROR(_xlfn.XLOOKUP(MonthlySalesData!D99,EmployeeMaster!A:A,EmployeeMaster!B:B,0),0)</f>
        <v>Lynda Smith</v>
      </c>
      <c r="B99" t="str">
        <f>IFERROR(_xlfn.XLOOKUP(MonthlySalesData!D99,EmployeeMaster!A:A,EmployeeMaster!D:D,0),0)</f>
        <v>Sales Executive</v>
      </c>
      <c r="C99" t="str">
        <f>IFERROR(_xlfn.XLOOKUP(MonthlySalesData!D99,EmployeeMaster!A:A,EmployeeMaster!E:E,0),0)</f>
        <v>North</v>
      </c>
      <c r="D99">
        <v>52010</v>
      </c>
      <c r="E99">
        <v>46995</v>
      </c>
      <c r="F99" s="23">
        <f t="shared" si="1"/>
        <v>1.1067134801574636</v>
      </c>
    </row>
    <row r="100" spans="1:6" x14ac:dyDescent="0.35">
      <c r="A100" t="str">
        <f>IFERROR(_xlfn.XLOOKUP(MonthlySalesData!D100,EmployeeMaster!A:A,EmployeeMaster!B:B,0),0)</f>
        <v>Martina Brands</v>
      </c>
      <c r="B100" t="str">
        <f>IFERROR(_xlfn.XLOOKUP(MonthlySalesData!D100,EmployeeMaster!A:A,EmployeeMaster!D:D,0),0)</f>
        <v>Brand Manager</v>
      </c>
      <c r="C100" t="str">
        <f>IFERROR(_xlfn.XLOOKUP(MonthlySalesData!D100,EmployeeMaster!A:A,EmployeeMaster!E:E,0),0)</f>
        <v>North</v>
      </c>
      <c r="D100">
        <v>95340</v>
      </c>
      <c r="E100">
        <v>97155</v>
      </c>
      <c r="F100" s="23">
        <f t="shared" si="1"/>
        <v>0.9813185116566312</v>
      </c>
    </row>
    <row r="101" spans="1:6" x14ac:dyDescent="0.35">
      <c r="A101" t="str">
        <f>IFERROR(_xlfn.XLOOKUP(MonthlySalesData!D101,EmployeeMaster!A:A,EmployeeMaster!B:B,0),0)</f>
        <v>Martina Brands</v>
      </c>
      <c r="B101" t="str">
        <f>IFERROR(_xlfn.XLOOKUP(MonthlySalesData!D101,EmployeeMaster!A:A,EmployeeMaster!D:D,0),0)</f>
        <v>Brand Manager</v>
      </c>
      <c r="C101" t="str">
        <f>IFERROR(_xlfn.XLOOKUP(MonthlySalesData!D101,EmployeeMaster!A:A,EmployeeMaster!E:E,0),0)</f>
        <v>North</v>
      </c>
      <c r="D101">
        <v>71859</v>
      </c>
      <c r="E101">
        <v>72862</v>
      </c>
      <c r="F101" s="23">
        <f t="shared" si="1"/>
        <v>0.98623425104993001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workbookViewId="0">
      <selection activeCell="K6" sqref="K6"/>
    </sheetView>
  </sheetViews>
  <sheetFormatPr defaultColWidth="14.453125" defaultRowHeight="15" customHeight="1" x14ac:dyDescent="0.35"/>
  <cols>
    <col min="1" max="1" width="12.81640625" customWidth="1"/>
    <col min="2" max="2" width="14.7265625" customWidth="1"/>
    <col min="3" max="3" width="12.453125" customWidth="1"/>
    <col min="4" max="4" width="15" customWidth="1"/>
    <col min="5" max="5" width="8.26953125" customWidth="1"/>
    <col min="6" max="6" width="14.81640625" customWidth="1"/>
    <col min="7" max="26" width="8.7265625" customWidth="1"/>
  </cols>
  <sheetData>
    <row r="1" spans="1:7" ht="18" customHeight="1" x14ac:dyDescent="0.35">
      <c r="A1" s="1" t="s">
        <v>0</v>
      </c>
      <c r="B1" s="1" t="s">
        <v>73</v>
      </c>
      <c r="C1" s="1" t="s">
        <v>1</v>
      </c>
      <c r="D1" s="1" t="s">
        <v>2</v>
      </c>
      <c r="E1" s="1" t="s">
        <v>3</v>
      </c>
      <c r="F1" s="1" t="s">
        <v>4</v>
      </c>
      <c r="G1" s="1" t="s">
        <v>5</v>
      </c>
    </row>
    <row r="2" spans="1:7" ht="18" customHeight="1" x14ac:dyDescent="0.35">
      <c r="A2" s="2" t="s">
        <v>6</v>
      </c>
      <c r="B2" s="2" t="s">
        <v>7</v>
      </c>
      <c r="C2" s="2" t="s">
        <v>8</v>
      </c>
      <c r="D2" s="2" t="s">
        <v>9</v>
      </c>
      <c r="E2" s="2" t="s">
        <v>10</v>
      </c>
      <c r="F2" s="2" t="s">
        <v>11</v>
      </c>
      <c r="G2" s="2" t="s">
        <v>12</v>
      </c>
    </row>
    <row r="3" spans="1:7" ht="18" customHeight="1" x14ac:dyDescent="0.35">
      <c r="A3" s="2" t="s">
        <v>13</v>
      </c>
      <c r="B3" s="2" t="s">
        <v>14</v>
      </c>
      <c r="C3" s="2" t="s">
        <v>15</v>
      </c>
      <c r="D3" s="2" t="s">
        <v>16</v>
      </c>
      <c r="E3" s="2" t="s">
        <v>17</v>
      </c>
      <c r="F3" s="2" t="s">
        <v>18</v>
      </c>
      <c r="G3" s="2" t="s">
        <v>12</v>
      </c>
    </row>
    <row r="4" spans="1:7" ht="18" customHeight="1" x14ac:dyDescent="0.35">
      <c r="A4" s="2" t="s">
        <v>19</v>
      </c>
      <c r="B4" s="2" t="s">
        <v>20</v>
      </c>
      <c r="C4" s="2" t="s">
        <v>8</v>
      </c>
      <c r="D4" s="2" t="s">
        <v>21</v>
      </c>
      <c r="E4" s="2" t="s">
        <v>22</v>
      </c>
      <c r="F4" s="2" t="s">
        <v>23</v>
      </c>
      <c r="G4" s="2" t="s">
        <v>24</v>
      </c>
    </row>
    <row r="5" spans="1:7" ht="18" customHeight="1" x14ac:dyDescent="0.35">
      <c r="A5" s="2" t="s">
        <v>25</v>
      </c>
      <c r="B5" s="2" t="s">
        <v>26</v>
      </c>
      <c r="C5" s="2" t="s">
        <v>27</v>
      </c>
      <c r="D5" s="2" t="s">
        <v>28</v>
      </c>
      <c r="E5" s="2" t="s">
        <v>29</v>
      </c>
      <c r="F5" s="2" t="s">
        <v>30</v>
      </c>
      <c r="G5" s="2" t="s">
        <v>12</v>
      </c>
    </row>
    <row r="6" spans="1:7" ht="18" customHeight="1" x14ac:dyDescent="0.35">
      <c r="A6" s="2" t="s">
        <v>31</v>
      </c>
      <c r="B6" s="2" t="s">
        <v>32</v>
      </c>
      <c r="C6" s="2" t="s">
        <v>8</v>
      </c>
      <c r="D6" s="2" t="s">
        <v>33</v>
      </c>
      <c r="E6" s="2" t="s">
        <v>34</v>
      </c>
      <c r="F6" s="2" t="s">
        <v>35</v>
      </c>
      <c r="G6" s="2" t="s">
        <v>12</v>
      </c>
    </row>
    <row r="7" spans="1:7" ht="18" customHeight="1" x14ac:dyDescent="0.35">
      <c r="A7" s="2" t="s">
        <v>36</v>
      </c>
      <c r="B7" s="2" t="s">
        <v>37</v>
      </c>
      <c r="C7" s="2" t="s">
        <v>8</v>
      </c>
      <c r="D7" s="2" t="s">
        <v>9</v>
      </c>
      <c r="E7" s="2" t="s">
        <v>17</v>
      </c>
      <c r="F7" s="2" t="s">
        <v>38</v>
      </c>
      <c r="G7" s="2" t="s">
        <v>12</v>
      </c>
    </row>
    <row r="8" spans="1:7" ht="18" customHeight="1" x14ac:dyDescent="0.35">
      <c r="A8" s="2" t="s">
        <v>39</v>
      </c>
      <c r="B8" s="2" t="s">
        <v>40</v>
      </c>
      <c r="C8" s="2" t="s">
        <v>15</v>
      </c>
      <c r="D8" s="2" t="s">
        <v>41</v>
      </c>
      <c r="E8" s="2" t="s">
        <v>10</v>
      </c>
      <c r="F8" s="2" t="s">
        <v>42</v>
      </c>
      <c r="G8" s="2" t="s">
        <v>12</v>
      </c>
    </row>
    <row r="9" spans="1:7" ht="18" customHeight="1" x14ac:dyDescent="0.35">
      <c r="A9" s="2" t="s">
        <v>43</v>
      </c>
      <c r="B9" s="2" t="s">
        <v>44</v>
      </c>
      <c r="C9" s="2" t="s">
        <v>8</v>
      </c>
      <c r="D9" s="2" t="s">
        <v>45</v>
      </c>
      <c r="E9" s="2" t="s">
        <v>22</v>
      </c>
      <c r="F9" s="2" t="s">
        <v>46</v>
      </c>
      <c r="G9" s="2" t="s">
        <v>24</v>
      </c>
    </row>
    <row r="10" spans="1:7" ht="18" customHeight="1" x14ac:dyDescent="0.35">
      <c r="A10" s="3"/>
      <c r="B10" s="3"/>
      <c r="C10" s="3"/>
      <c r="D10" s="3"/>
      <c r="E10" s="3"/>
      <c r="F10" s="3"/>
      <c r="G10" s="3"/>
    </row>
    <row r="11" spans="1:7" ht="18" customHeight="1" x14ac:dyDescent="0.35">
      <c r="A11" s="3"/>
      <c r="B11" s="3"/>
      <c r="C11" s="3"/>
      <c r="D11" s="3"/>
      <c r="E11" s="3"/>
      <c r="F11" s="3"/>
      <c r="G11" s="3"/>
    </row>
    <row r="12" spans="1:7" ht="18" customHeight="1" x14ac:dyDescent="0.35">
      <c r="A12" s="3"/>
      <c r="B12" s="3"/>
      <c r="C12" s="3"/>
      <c r="D12" s="3"/>
      <c r="E12" s="3"/>
      <c r="F12" s="3"/>
      <c r="G12" s="3"/>
    </row>
    <row r="13" spans="1:7" ht="18" customHeight="1" x14ac:dyDescent="0.35">
      <c r="A13" s="3"/>
      <c r="B13" s="3"/>
      <c r="C13" s="3"/>
      <c r="D13" s="3"/>
      <c r="E13" s="3"/>
      <c r="F13" s="3"/>
      <c r="G13" s="3"/>
    </row>
    <row r="14" spans="1:7" ht="18" customHeight="1" x14ac:dyDescent="0.35">
      <c r="A14" s="3"/>
      <c r="B14" s="3"/>
      <c r="C14" s="3"/>
      <c r="D14" s="3"/>
      <c r="E14" s="3"/>
      <c r="F14" s="3"/>
      <c r="G14" s="3"/>
    </row>
    <row r="15" spans="1:7" ht="18" customHeight="1" x14ac:dyDescent="0.35">
      <c r="A15" s="3"/>
      <c r="B15" s="3"/>
      <c r="C15" s="3"/>
      <c r="D15" s="3"/>
      <c r="E15" s="3"/>
      <c r="F15" s="3"/>
      <c r="G15" s="3"/>
    </row>
    <row r="16" spans="1:7" ht="18" customHeight="1" x14ac:dyDescent="0.35">
      <c r="A16" s="3"/>
      <c r="B16" s="3"/>
      <c r="C16" s="3"/>
      <c r="D16" s="3"/>
      <c r="E16" s="3"/>
      <c r="F16" s="3"/>
      <c r="G16" s="3"/>
    </row>
    <row r="17" spans="1:7" ht="18" customHeight="1" x14ac:dyDescent="0.35">
      <c r="A17" s="3"/>
      <c r="B17" s="3"/>
      <c r="C17" s="3"/>
      <c r="D17" s="3"/>
      <c r="E17" s="3"/>
      <c r="F17" s="3"/>
      <c r="G17" s="3"/>
    </row>
    <row r="18" spans="1:7" ht="18" customHeight="1" x14ac:dyDescent="0.35">
      <c r="A18" s="3"/>
      <c r="B18" s="3"/>
      <c r="C18" s="3"/>
      <c r="D18" s="3"/>
      <c r="E18" s="3"/>
      <c r="F18" s="3"/>
      <c r="G18" s="3"/>
    </row>
    <row r="19" spans="1:7" ht="18" customHeight="1" x14ac:dyDescent="0.35">
      <c r="A19" s="3"/>
      <c r="B19" s="3"/>
      <c r="C19" s="3"/>
      <c r="D19" s="3"/>
      <c r="E19" s="3"/>
      <c r="F19" s="3"/>
      <c r="G19" s="3"/>
    </row>
    <row r="20" spans="1:7" ht="18" customHeight="1" x14ac:dyDescent="0.35">
      <c r="A20" s="3"/>
      <c r="B20" s="3"/>
      <c r="C20" s="3"/>
      <c r="D20" s="3"/>
      <c r="E20" s="3"/>
      <c r="F20" s="3"/>
      <c r="G20" s="3"/>
    </row>
    <row r="21" spans="1:7" ht="18" customHeight="1" x14ac:dyDescent="0.35">
      <c r="A21" s="3"/>
      <c r="B21" s="3"/>
      <c r="C21" s="3"/>
      <c r="D21" s="3"/>
      <c r="E21" s="3"/>
      <c r="F21" s="3"/>
      <c r="G21" s="3"/>
    </row>
    <row r="22" spans="1:7" ht="18" customHeight="1" x14ac:dyDescent="0.35">
      <c r="A22" s="3"/>
      <c r="B22" s="3"/>
      <c r="C22" s="3"/>
      <c r="D22" s="3"/>
      <c r="E22" s="3"/>
      <c r="F22" s="3"/>
      <c r="G22" s="3"/>
    </row>
    <row r="23" spans="1:7" ht="18" customHeight="1" x14ac:dyDescent="0.35">
      <c r="A23" s="3"/>
      <c r="B23" s="3"/>
      <c r="C23" s="3"/>
      <c r="D23" s="3"/>
      <c r="E23" s="3"/>
      <c r="F23" s="3"/>
      <c r="G23" s="3"/>
    </row>
    <row r="24" spans="1:7" ht="18" customHeight="1" x14ac:dyDescent="0.35">
      <c r="A24" s="3"/>
      <c r="B24" s="3"/>
      <c r="C24" s="3"/>
      <c r="D24" s="3"/>
      <c r="E24" s="3"/>
      <c r="F24" s="3"/>
      <c r="G24" s="3"/>
    </row>
    <row r="25" spans="1:7" ht="18" customHeight="1" x14ac:dyDescent="0.35">
      <c r="A25" s="3"/>
      <c r="B25" s="3"/>
      <c r="C25" s="3"/>
      <c r="D25" s="3"/>
      <c r="E25" s="3"/>
      <c r="F25" s="3"/>
      <c r="G25" s="3"/>
    </row>
    <row r="26" spans="1:7" ht="18" customHeight="1" x14ac:dyDescent="0.35">
      <c r="A26" s="3"/>
      <c r="B26" s="3"/>
      <c r="C26" s="3"/>
      <c r="D26" s="3"/>
      <c r="E26" s="3"/>
      <c r="F26" s="3"/>
      <c r="G26" s="3"/>
    </row>
    <row r="27" spans="1:7" ht="18" customHeight="1" x14ac:dyDescent="0.35">
      <c r="A27" s="3"/>
      <c r="B27" s="3"/>
      <c r="C27" s="3"/>
      <c r="D27" s="3"/>
      <c r="E27" s="3"/>
      <c r="F27" s="3"/>
      <c r="G27" s="3"/>
    </row>
    <row r="28" spans="1:7" ht="18" customHeight="1" x14ac:dyDescent="0.35">
      <c r="A28" s="3"/>
      <c r="B28" s="3"/>
      <c r="C28" s="3"/>
      <c r="D28" s="3"/>
      <c r="E28" s="3"/>
      <c r="F28" s="3"/>
      <c r="G28" s="3"/>
    </row>
    <row r="29" spans="1:7" ht="18" customHeight="1" x14ac:dyDescent="0.35">
      <c r="A29" s="3"/>
      <c r="B29" s="3"/>
      <c r="C29" s="3"/>
      <c r="D29" s="3"/>
      <c r="E29" s="3"/>
      <c r="F29" s="3"/>
      <c r="G29" s="3"/>
    </row>
    <row r="30" spans="1:7" ht="18" customHeight="1" x14ac:dyDescent="0.35">
      <c r="A30" s="3"/>
      <c r="B30" s="3"/>
      <c r="C30" s="3"/>
      <c r="D30" s="3"/>
      <c r="E30" s="3"/>
      <c r="F30" s="3"/>
      <c r="G30" s="3"/>
    </row>
    <row r="31" spans="1:7" ht="18" customHeight="1" x14ac:dyDescent="0.35">
      <c r="A31" s="3"/>
      <c r="B31" s="3"/>
      <c r="C31" s="3"/>
      <c r="D31" s="3"/>
      <c r="E31" s="3"/>
      <c r="F31" s="3"/>
      <c r="G31" s="3"/>
    </row>
    <row r="32" spans="1:7" ht="18" customHeight="1" x14ac:dyDescent="0.35">
      <c r="A32" s="3"/>
      <c r="B32" s="3"/>
      <c r="C32" s="3"/>
      <c r="D32" s="3"/>
      <c r="E32" s="3"/>
      <c r="F32" s="3"/>
      <c r="G32" s="3"/>
    </row>
    <row r="33" spans="1:7" ht="18" customHeight="1" x14ac:dyDescent="0.35">
      <c r="A33" s="3"/>
      <c r="B33" s="3"/>
      <c r="C33" s="3"/>
      <c r="D33" s="3"/>
      <c r="E33" s="3"/>
      <c r="F33" s="3"/>
      <c r="G33" s="3"/>
    </row>
    <row r="34" spans="1:7" ht="18" customHeight="1" x14ac:dyDescent="0.35">
      <c r="A34" s="3"/>
      <c r="B34" s="3"/>
      <c r="C34" s="3"/>
      <c r="D34" s="3"/>
      <c r="E34" s="3"/>
      <c r="F34" s="3"/>
      <c r="G34" s="3"/>
    </row>
    <row r="35" spans="1:7" ht="18" customHeight="1" x14ac:dyDescent="0.35">
      <c r="A35" s="3"/>
      <c r="B35" s="3"/>
      <c r="C35" s="3"/>
      <c r="D35" s="3"/>
      <c r="E35" s="3"/>
      <c r="F35" s="3"/>
      <c r="G35" s="3"/>
    </row>
    <row r="36" spans="1:7" ht="18" customHeight="1" x14ac:dyDescent="0.35">
      <c r="A36" s="3"/>
      <c r="B36" s="3"/>
      <c r="C36" s="3"/>
      <c r="D36" s="3"/>
      <c r="E36" s="3"/>
      <c r="F36" s="3"/>
      <c r="G36" s="3"/>
    </row>
    <row r="37" spans="1:7" ht="18" customHeight="1" x14ac:dyDescent="0.35">
      <c r="A37" s="3"/>
      <c r="B37" s="3"/>
      <c r="C37" s="3"/>
      <c r="D37" s="3"/>
      <c r="E37" s="3"/>
      <c r="F37" s="3"/>
      <c r="G37" s="3"/>
    </row>
    <row r="38" spans="1:7" ht="18" customHeight="1" x14ac:dyDescent="0.35">
      <c r="A38" s="3"/>
      <c r="B38" s="3"/>
      <c r="C38" s="3"/>
      <c r="D38" s="3"/>
      <c r="E38" s="3"/>
      <c r="F38" s="3"/>
      <c r="G38" s="3"/>
    </row>
    <row r="39" spans="1:7" ht="18" customHeight="1" x14ac:dyDescent="0.35">
      <c r="A39" s="3"/>
      <c r="B39" s="3"/>
      <c r="C39" s="3"/>
      <c r="D39" s="3"/>
      <c r="E39" s="3"/>
      <c r="F39" s="3"/>
      <c r="G39" s="3"/>
    </row>
    <row r="40" spans="1:7" ht="18" customHeight="1" x14ac:dyDescent="0.35">
      <c r="A40" s="3"/>
      <c r="B40" s="3"/>
      <c r="C40" s="3"/>
      <c r="D40" s="3"/>
      <c r="E40" s="3"/>
      <c r="F40" s="3"/>
      <c r="G40" s="3"/>
    </row>
    <row r="41" spans="1:7" ht="18" customHeight="1" x14ac:dyDescent="0.35">
      <c r="A41" s="3"/>
      <c r="B41" s="3"/>
      <c r="C41" s="3"/>
      <c r="D41" s="3"/>
      <c r="E41" s="3"/>
      <c r="F41" s="3"/>
      <c r="G41" s="3"/>
    </row>
    <row r="42" spans="1:7" ht="18" customHeight="1" x14ac:dyDescent="0.35">
      <c r="A42" s="3"/>
      <c r="B42" s="3"/>
      <c r="C42" s="3"/>
      <c r="D42" s="3"/>
      <c r="E42" s="3"/>
      <c r="F42" s="3"/>
      <c r="G42" s="3"/>
    </row>
    <row r="43" spans="1:7" ht="18" customHeight="1" x14ac:dyDescent="0.35">
      <c r="A43" s="3"/>
      <c r="B43" s="3"/>
      <c r="C43" s="3"/>
      <c r="D43" s="3"/>
      <c r="E43" s="3"/>
      <c r="F43" s="3"/>
      <c r="G43" s="3"/>
    </row>
    <row r="44" spans="1:7" ht="18" customHeight="1" x14ac:dyDescent="0.35">
      <c r="A44" s="3"/>
      <c r="B44" s="3"/>
      <c r="C44" s="3"/>
      <c r="D44" s="3"/>
      <c r="E44" s="3"/>
      <c r="F44" s="3"/>
      <c r="G44" s="3"/>
    </row>
    <row r="45" spans="1:7" ht="18" customHeight="1" x14ac:dyDescent="0.35">
      <c r="A45" s="3"/>
      <c r="B45" s="3"/>
      <c r="C45" s="3"/>
      <c r="D45" s="3"/>
      <c r="E45" s="3"/>
      <c r="F45" s="3"/>
      <c r="G45" s="3"/>
    </row>
    <row r="46" spans="1:7" ht="18" customHeight="1" x14ac:dyDescent="0.35">
      <c r="A46" s="3"/>
      <c r="B46" s="3"/>
      <c r="C46" s="3"/>
      <c r="D46" s="3"/>
      <c r="E46" s="3"/>
      <c r="F46" s="3"/>
      <c r="G46" s="3"/>
    </row>
    <row r="47" spans="1:7" ht="18" customHeight="1" x14ac:dyDescent="0.35">
      <c r="A47" s="3"/>
      <c r="B47" s="3"/>
      <c r="C47" s="3"/>
      <c r="D47" s="3"/>
      <c r="E47" s="3"/>
      <c r="F47" s="3"/>
      <c r="G47" s="3"/>
    </row>
    <row r="48" spans="1:7" ht="18" customHeight="1" x14ac:dyDescent="0.35">
      <c r="A48" s="3"/>
      <c r="B48" s="3"/>
      <c r="C48" s="3"/>
      <c r="D48" s="3"/>
      <c r="E48" s="3"/>
      <c r="F48" s="3"/>
      <c r="G48" s="3"/>
    </row>
    <row r="49" spans="1:7" ht="18" customHeight="1" x14ac:dyDescent="0.35">
      <c r="A49" s="3"/>
      <c r="B49" s="3"/>
      <c r="C49" s="3"/>
      <c r="D49" s="3"/>
      <c r="E49" s="3"/>
      <c r="F49" s="3"/>
      <c r="G49" s="3"/>
    </row>
    <row r="50" spans="1:7" ht="18" customHeight="1" x14ac:dyDescent="0.35">
      <c r="A50" s="3"/>
      <c r="B50" s="3"/>
      <c r="C50" s="3"/>
      <c r="D50" s="3"/>
      <c r="E50" s="3"/>
      <c r="F50" s="3"/>
      <c r="G50" s="3"/>
    </row>
    <row r="51" spans="1:7" ht="18" customHeight="1" x14ac:dyDescent="0.35">
      <c r="A51" s="3"/>
      <c r="B51" s="3"/>
      <c r="C51" s="3"/>
      <c r="D51" s="3"/>
      <c r="E51" s="3"/>
      <c r="F51" s="3"/>
      <c r="G51" s="3"/>
    </row>
    <row r="52" spans="1:7" ht="18" customHeight="1" x14ac:dyDescent="0.35">
      <c r="A52" s="3"/>
      <c r="B52" s="3"/>
      <c r="C52" s="3"/>
      <c r="D52" s="3"/>
      <c r="E52" s="3"/>
      <c r="F52" s="3"/>
      <c r="G52" s="3"/>
    </row>
    <row r="53" spans="1:7" ht="18" customHeight="1" x14ac:dyDescent="0.35">
      <c r="A53" s="3"/>
      <c r="B53" s="3"/>
      <c r="C53" s="3"/>
      <c r="D53" s="3"/>
      <c r="E53" s="3"/>
      <c r="F53" s="3"/>
      <c r="G53" s="3"/>
    </row>
    <row r="54" spans="1:7" ht="18" customHeight="1" x14ac:dyDescent="0.35">
      <c r="A54" s="3"/>
      <c r="B54" s="3"/>
      <c r="C54" s="3"/>
      <c r="D54" s="3"/>
      <c r="E54" s="3"/>
      <c r="F54" s="3"/>
      <c r="G54" s="3"/>
    </row>
    <row r="55" spans="1:7" ht="18" customHeight="1" x14ac:dyDescent="0.35">
      <c r="A55" s="3"/>
      <c r="B55" s="3"/>
      <c r="C55" s="3"/>
      <c r="D55" s="3"/>
      <c r="E55" s="3"/>
      <c r="F55" s="3"/>
      <c r="G55" s="3"/>
    </row>
    <row r="56" spans="1:7" ht="18" customHeight="1" x14ac:dyDescent="0.35">
      <c r="A56" s="3"/>
      <c r="B56" s="3"/>
      <c r="C56" s="3"/>
      <c r="D56" s="3"/>
      <c r="E56" s="3"/>
      <c r="F56" s="3"/>
      <c r="G56" s="3"/>
    </row>
    <row r="57" spans="1:7" ht="18" customHeight="1" x14ac:dyDescent="0.35">
      <c r="A57" s="3"/>
      <c r="B57" s="3"/>
      <c r="C57" s="3"/>
      <c r="D57" s="3"/>
      <c r="E57" s="3"/>
      <c r="F57" s="3"/>
      <c r="G57" s="3"/>
    </row>
    <row r="58" spans="1:7" ht="18" customHeight="1" x14ac:dyDescent="0.35">
      <c r="A58" s="3"/>
      <c r="B58" s="3"/>
      <c r="C58" s="3"/>
      <c r="D58" s="3"/>
      <c r="E58" s="3"/>
      <c r="F58" s="3"/>
      <c r="G58" s="3"/>
    </row>
    <row r="59" spans="1:7" ht="18" customHeight="1" x14ac:dyDescent="0.35">
      <c r="A59" s="3"/>
      <c r="B59" s="3"/>
      <c r="C59" s="3"/>
      <c r="D59" s="3"/>
      <c r="E59" s="3"/>
      <c r="F59" s="3"/>
      <c r="G59" s="3"/>
    </row>
    <row r="60" spans="1:7" ht="18" customHeight="1" x14ac:dyDescent="0.35">
      <c r="A60" s="3"/>
      <c r="B60" s="3"/>
      <c r="C60" s="3"/>
      <c r="D60" s="3"/>
      <c r="E60" s="3"/>
      <c r="F60" s="3"/>
      <c r="G60" s="3"/>
    </row>
    <row r="61" spans="1:7" ht="18" customHeight="1" x14ac:dyDescent="0.35">
      <c r="A61" s="3"/>
      <c r="B61" s="3"/>
      <c r="C61" s="3"/>
      <c r="D61" s="3"/>
      <c r="E61" s="3"/>
      <c r="F61" s="3"/>
      <c r="G61" s="3"/>
    </row>
    <row r="62" spans="1:7" ht="18" customHeight="1" x14ac:dyDescent="0.35">
      <c r="A62" s="3"/>
      <c r="B62" s="3"/>
      <c r="C62" s="3"/>
      <c r="D62" s="3"/>
      <c r="E62" s="3"/>
      <c r="F62" s="3"/>
      <c r="G62" s="3"/>
    </row>
    <row r="63" spans="1:7" ht="18" customHeight="1" x14ac:dyDescent="0.35">
      <c r="A63" s="3"/>
      <c r="B63" s="3"/>
      <c r="C63" s="3"/>
      <c r="D63" s="3"/>
      <c r="E63" s="3"/>
      <c r="F63" s="3"/>
      <c r="G63" s="3"/>
    </row>
    <row r="64" spans="1:7" ht="18" customHeight="1" x14ac:dyDescent="0.35">
      <c r="A64" s="3"/>
      <c r="B64" s="3"/>
      <c r="C64" s="3"/>
      <c r="D64" s="3"/>
      <c r="E64" s="3"/>
      <c r="F64" s="3"/>
      <c r="G64" s="3"/>
    </row>
    <row r="65" spans="1:7" ht="18" customHeight="1" x14ac:dyDescent="0.35">
      <c r="A65" s="3"/>
      <c r="B65" s="3"/>
      <c r="C65" s="3"/>
      <c r="D65" s="3"/>
      <c r="E65" s="3"/>
      <c r="F65" s="3"/>
      <c r="G65" s="3"/>
    </row>
    <row r="66" spans="1:7" ht="18" customHeight="1" x14ac:dyDescent="0.35">
      <c r="A66" s="3"/>
      <c r="B66" s="3"/>
      <c r="C66" s="3"/>
      <c r="D66" s="3"/>
      <c r="E66" s="3"/>
      <c r="F66" s="3"/>
      <c r="G66" s="3"/>
    </row>
    <row r="67" spans="1:7" ht="18" customHeight="1" x14ac:dyDescent="0.35">
      <c r="A67" s="3"/>
      <c r="B67" s="3"/>
      <c r="C67" s="3"/>
      <c r="D67" s="3"/>
      <c r="E67" s="3"/>
      <c r="F67" s="3"/>
      <c r="G67" s="3"/>
    </row>
    <row r="68" spans="1:7" ht="18" customHeight="1" x14ac:dyDescent="0.35">
      <c r="A68" s="3"/>
      <c r="B68" s="3"/>
      <c r="C68" s="3"/>
      <c r="D68" s="3"/>
      <c r="E68" s="3"/>
      <c r="F68" s="3"/>
      <c r="G68" s="3"/>
    </row>
    <row r="69" spans="1:7" ht="18" customHeight="1" x14ac:dyDescent="0.35">
      <c r="A69" s="3"/>
      <c r="B69" s="3"/>
      <c r="C69" s="3"/>
      <c r="D69" s="3"/>
      <c r="E69" s="3"/>
      <c r="F69" s="3"/>
      <c r="G69" s="3"/>
    </row>
    <row r="70" spans="1:7" ht="18" customHeight="1" x14ac:dyDescent="0.35">
      <c r="A70" s="3"/>
      <c r="B70" s="3"/>
      <c r="C70" s="3"/>
      <c r="D70" s="3"/>
      <c r="E70" s="3"/>
      <c r="F70" s="3"/>
      <c r="G70" s="3"/>
    </row>
    <row r="71" spans="1:7" ht="18" customHeight="1" x14ac:dyDescent="0.35">
      <c r="A71" s="3"/>
      <c r="B71" s="3"/>
      <c r="C71" s="3"/>
      <c r="D71" s="3"/>
      <c r="E71" s="3"/>
      <c r="F71" s="3"/>
      <c r="G71" s="3"/>
    </row>
    <row r="72" spans="1:7" ht="18" customHeight="1" x14ac:dyDescent="0.35">
      <c r="A72" s="3"/>
      <c r="B72" s="3"/>
      <c r="C72" s="3"/>
      <c r="D72" s="3"/>
      <c r="E72" s="3"/>
      <c r="F72" s="3"/>
      <c r="G72" s="3"/>
    </row>
    <row r="73" spans="1:7" ht="18" customHeight="1" x14ac:dyDescent="0.35">
      <c r="A73" s="3"/>
      <c r="B73" s="3"/>
      <c r="C73" s="3"/>
      <c r="D73" s="3"/>
      <c r="E73" s="3"/>
      <c r="F73" s="3"/>
      <c r="G73" s="3"/>
    </row>
    <row r="74" spans="1:7" ht="18" customHeight="1" x14ac:dyDescent="0.35">
      <c r="A74" s="3"/>
      <c r="B74" s="3"/>
      <c r="C74" s="3"/>
      <c r="D74" s="3"/>
      <c r="E74" s="3"/>
      <c r="F74" s="3"/>
      <c r="G74" s="3"/>
    </row>
    <row r="75" spans="1:7" ht="18" customHeight="1" x14ac:dyDescent="0.35">
      <c r="A75" s="3"/>
      <c r="B75" s="3"/>
      <c r="C75" s="3"/>
      <c r="D75" s="3"/>
      <c r="E75" s="3"/>
      <c r="F75" s="3"/>
      <c r="G75" s="3"/>
    </row>
    <row r="76" spans="1:7" ht="18" customHeight="1" x14ac:dyDescent="0.35">
      <c r="A76" s="3"/>
      <c r="B76" s="3"/>
      <c r="C76" s="3"/>
      <c r="D76" s="3"/>
      <c r="E76" s="3"/>
      <c r="F76" s="3"/>
      <c r="G76" s="3"/>
    </row>
    <row r="77" spans="1:7" ht="18" customHeight="1" x14ac:dyDescent="0.35">
      <c r="A77" s="3"/>
      <c r="B77" s="3"/>
      <c r="C77" s="3"/>
      <c r="D77" s="3"/>
      <c r="E77" s="3"/>
      <c r="F77" s="3"/>
      <c r="G77" s="3"/>
    </row>
    <row r="78" spans="1:7" ht="18" customHeight="1" x14ac:dyDescent="0.35">
      <c r="A78" s="3"/>
      <c r="B78" s="3"/>
      <c r="C78" s="3"/>
      <c r="D78" s="3"/>
      <c r="E78" s="3"/>
      <c r="F78" s="3"/>
      <c r="G78" s="3"/>
    </row>
    <row r="79" spans="1:7" ht="18" customHeight="1" x14ac:dyDescent="0.35">
      <c r="A79" s="3"/>
      <c r="B79" s="3"/>
      <c r="C79" s="3"/>
      <c r="D79" s="3"/>
      <c r="E79" s="3"/>
      <c r="F79" s="3"/>
      <c r="G79" s="3"/>
    </row>
    <row r="80" spans="1:7" ht="18" customHeight="1" x14ac:dyDescent="0.35">
      <c r="A80" s="3"/>
      <c r="B80" s="3"/>
      <c r="C80" s="3"/>
      <c r="D80" s="3"/>
      <c r="E80" s="3"/>
      <c r="F80" s="3"/>
      <c r="G80" s="3"/>
    </row>
    <row r="81" spans="1:7" ht="18" customHeight="1" x14ac:dyDescent="0.35">
      <c r="A81" s="3"/>
      <c r="B81" s="3"/>
      <c r="C81" s="3"/>
      <c r="D81" s="3"/>
      <c r="E81" s="3"/>
      <c r="F81" s="3"/>
      <c r="G81" s="3"/>
    </row>
    <row r="82" spans="1:7" ht="18" customHeight="1" x14ac:dyDescent="0.35">
      <c r="A82" s="3"/>
      <c r="B82" s="3"/>
      <c r="C82" s="3"/>
      <c r="D82" s="3"/>
      <c r="E82" s="3"/>
      <c r="F82" s="3"/>
      <c r="G82" s="3"/>
    </row>
    <row r="83" spans="1:7" ht="18" customHeight="1" x14ac:dyDescent="0.35">
      <c r="A83" s="3"/>
      <c r="B83" s="3"/>
      <c r="C83" s="3"/>
      <c r="D83" s="3"/>
      <c r="E83" s="3"/>
      <c r="F83" s="3"/>
      <c r="G83" s="3"/>
    </row>
    <row r="84" spans="1:7" ht="18" customHeight="1" x14ac:dyDescent="0.35">
      <c r="A84" s="3"/>
      <c r="B84" s="3"/>
      <c r="C84" s="3"/>
      <c r="D84" s="3"/>
      <c r="E84" s="3"/>
      <c r="F84" s="3"/>
      <c r="G84" s="3"/>
    </row>
    <row r="85" spans="1:7" ht="18" customHeight="1" x14ac:dyDescent="0.35">
      <c r="A85" s="3"/>
      <c r="B85" s="3"/>
      <c r="C85" s="3"/>
      <c r="D85" s="3"/>
      <c r="E85" s="3"/>
      <c r="F85" s="3"/>
      <c r="G85" s="3"/>
    </row>
    <row r="86" spans="1:7" ht="18" customHeight="1" x14ac:dyDescent="0.35">
      <c r="A86" s="3"/>
      <c r="B86" s="3"/>
      <c r="C86" s="3"/>
      <c r="D86" s="3"/>
      <c r="E86" s="3"/>
      <c r="F86" s="3"/>
      <c r="G86" s="3"/>
    </row>
    <row r="87" spans="1:7" ht="18" customHeight="1" x14ac:dyDescent="0.35">
      <c r="A87" s="3"/>
      <c r="B87" s="3"/>
      <c r="C87" s="3"/>
      <c r="D87" s="3"/>
      <c r="E87" s="3"/>
      <c r="F87" s="3"/>
      <c r="G87" s="3"/>
    </row>
    <row r="88" spans="1:7" ht="18" customHeight="1" x14ac:dyDescent="0.35">
      <c r="A88" s="3"/>
      <c r="B88" s="3"/>
      <c r="C88" s="3"/>
      <c r="D88" s="3"/>
      <c r="E88" s="3"/>
      <c r="F88" s="3"/>
      <c r="G88" s="3"/>
    </row>
    <row r="89" spans="1:7" ht="18" customHeight="1" x14ac:dyDescent="0.35">
      <c r="A89" s="3"/>
      <c r="B89" s="3"/>
      <c r="C89" s="3"/>
      <c r="D89" s="3"/>
      <c r="E89" s="3"/>
      <c r="F89" s="3"/>
      <c r="G89" s="3"/>
    </row>
    <row r="90" spans="1:7" ht="18" customHeight="1" x14ac:dyDescent="0.35">
      <c r="A90" s="3"/>
      <c r="B90" s="3"/>
      <c r="C90" s="3"/>
      <c r="D90" s="3"/>
      <c r="E90" s="3"/>
      <c r="F90" s="3"/>
      <c r="G90" s="3"/>
    </row>
    <row r="91" spans="1:7" ht="18" customHeight="1" x14ac:dyDescent="0.35">
      <c r="A91" s="3"/>
      <c r="B91" s="3"/>
      <c r="C91" s="3"/>
      <c r="D91" s="3"/>
      <c r="E91" s="3"/>
      <c r="F91" s="3"/>
      <c r="G91" s="3"/>
    </row>
    <row r="92" spans="1:7" ht="18" customHeight="1" x14ac:dyDescent="0.35">
      <c r="A92" s="3"/>
      <c r="B92" s="3"/>
      <c r="C92" s="3"/>
      <c r="D92" s="3"/>
      <c r="E92" s="3"/>
      <c r="F92" s="3"/>
      <c r="G92" s="3"/>
    </row>
    <row r="93" spans="1:7" ht="18" customHeight="1" x14ac:dyDescent="0.35">
      <c r="A93" s="3"/>
      <c r="B93" s="3"/>
      <c r="C93" s="3"/>
      <c r="D93" s="3"/>
      <c r="E93" s="3"/>
      <c r="F93" s="3"/>
      <c r="G93" s="3"/>
    </row>
    <row r="94" spans="1:7" ht="18" customHeight="1" x14ac:dyDescent="0.35">
      <c r="A94" s="3"/>
      <c r="B94" s="3"/>
      <c r="C94" s="3"/>
      <c r="D94" s="3"/>
      <c r="E94" s="3"/>
      <c r="F94" s="3"/>
      <c r="G94" s="3"/>
    </row>
    <row r="95" spans="1:7" ht="18" customHeight="1" x14ac:dyDescent="0.35">
      <c r="A95" s="3"/>
      <c r="B95" s="3"/>
      <c r="C95" s="3"/>
      <c r="D95" s="3"/>
      <c r="E95" s="3"/>
      <c r="F95" s="3"/>
      <c r="G95" s="3"/>
    </row>
    <row r="96" spans="1:7" ht="18" customHeight="1" x14ac:dyDescent="0.35">
      <c r="A96" s="3"/>
      <c r="B96" s="3"/>
      <c r="C96" s="3"/>
      <c r="D96" s="3"/>
      <c r="E96" s="3"/>
      <c r="F96" s="3"/>
      <c r="G96" s="3"/>
    </row>
    <row r="97" spans="1:7" ht="18" customHeight="1" x14ac:dyDescent="0.35">
      <c r="A97" s="3"/>
      <c r="B97" s="3"/>
      <c r="C97" s="3"/>
      <c r="D97" s="3"/>
      <c r="E97" s="3"/>
      <c r="F97" s="3"/>
      <c r="G97" s="3"/>
    </row>
    <row r="98" spans="1:7" ht="18" customHeight="1" x14ac:dyDescent="0.35">
      <c r="A98" s="3"/>
      <c r="B98" s="3"/>
      <c r="C98" s="3"/>
      <c r="D98" s="3"/>
      <c r="E98" s="3"/>
      <c r="F98" s="3"/>
      <c r="G98" s="3"/>
    </row>
    <row r="99" spans="1:7" ht="18" customHeight="1" x14ac:dyDescent="0.35">
      <c r="A99" s="3"/>
      <c r="B99" s="3"/>
      <c r="C99" s="3"/>
      <c r="D99" s="3"/>
      <c r="E99" s="3"/>
      <c r="F99" s="3"/>
      <c r="G99" s="3"/>
    </row>
    <row r="100" spans="1:7" ht="18" customHeight="1" x14ac:dyDescent="0.35">
      <c r="A100" s="3"/>
      <c r="B100" s="3"/>
      <c r="C100" s="3"/>
      <c r="D100" s="3"/>
      <c r="E100" s="3"/>
      <c r="F100" s="3"/>
      <c r="G100" s="3"/>
    </row>
    <row r="101" spans="1:7" ht="18" customHeight="1" x14ac:dyDescent="0.35">
      <c r="A101" s="3"/>
      <c r="B101" s="3"/>
      <c r="C101" s="3"/>
      <c r="D101" s="3"/>
      <c r="E101" s="3"/>
      <c r="F101" s="3"/>
      <c r="G101" s="3"/>
    </row>
    <row r="102" spans="1:7" ht="18" customHeight="1" x14ac:dyDescent="0.35">
      <c r="A102" s="3"/>
      <c r="B102" s="3"/>
      <c r="C102" s="3"/>
      <c r="D102" s="3"/>
      <c r="E102" s="3"/>
      <c r="F102" s="3"/>
      <c r="G102" s="3"/>
    </row>
    <row r="103" spans="1:7" ht="18" customHeight="1" x14ac:dyDescent="0.35">
      <c r="A103" s="3"/>
      <c r="B103" s="3"/>
      <c r="C103" s="3"/>
      <c r="D103" s="3"/>
      <c r="E103" s="3"/>
      <c r="F103" s="3"/>
      <c r="G103" s="3"/>
    </row>
    <row r="104" spans="1:7" ht="18" customHeight="1" x14ac:dyDescent="0.35">
      <c r="A104" s="3"/>
      <c r="B104" s="3"/>
      <c r="C104" s="3"/>
      <c r="D104" s="3"/>
      <c r="E104" s="3"/>
      <c r="F104" s="3"/>
      <c r="G104" s="3"/>
    </row>
    <row r="105" spans="1:7" ht="18" customHeight="1" x14ac:dyDescent="0.35">
      <c r="A105" s="3"/>
      <c r="B105" s="3"/>
      <c r="C105" s="3"/>
      <c r="D105" s="3"/>
      <c r="E105" s="3"/>
      <c r="F105" s="3"/>
      <c r="G105" s="3"/>
    </row>
    <row r="106" spans="1:7" ht="18" customHeight="1" x14ac:dyDescent="0.35">
      <c r="A106" s="3"/>
      <c r="B106" s="3"/>
      <c r="C106" s="3"/>
      <c r="D106" s="3"/>
      <c r="E106" s="3"/>
      <c r="F106" s="3"/>
      <c r="G106" s="3"/>
    </row>
    <row r="107" spans="1:7" ht="18" customHeight="1" x14ac:dyDescent="0.35">
      <c r="A107" s="3"/>
      <c r="B107" s="3"/>
      <c r="C107" s="3"/>
      <c r="D107" s="3"/>
      <c r="E107" s="3"/>
      <c r="F107" s="3"/>
      <c r="G107" s="3"/>
    </row>
    <row r="108" spans="1:7" ht="18" customHeight="1" x14ac:dyDescent="0.35">
      <c r="A108" s="3"/>
      <c r="B108" s="3"/>
      <c r="C108" s="3"/>
      <c r="D108" s="3"/>
      <c r="E108" s="3"/>
      <c r="F108" s="3"/>
      <c r="G108" s="3"/>
    </row>
    <row r="109" spans="1:7" ht="18" customHeight="1" x14ac:dyDescent="0.35">
      <c r="A109" s="3"/>
      <c r="B109" s="3"/>
      <c r="C109" s="3"/>
      <c r="D109" s="3"/>
      <c r="E109" s="3"/>
      <c r="F109" s="3"/>
      <c r="G109" s="3"/>
    </row>
    <row r="110" spans="1:7" ht="18" customHeight="1" x14ac:dyDescent="0.35">
      <c r="A110" s="3"/>
      <c r="B110" s="3"/>
      <c r="C110" s="3"/>
      <c r="D110" s="3"/>
      <c r="E110" s="3"/>
      <c r="F110" s="3"/>
      <c r="G110" s="3"/>
    </row>
    <row r="111" spans="1:7" ht="18" customHeight="1" x14ac:dyDescent="0.35">
      <c r="A111" s="3"/>
      <c r="B111" s="3"/>
      <c r="C111" s="3"/>
      <c r="D111" s="3"/>
      <c r="E111" s="3"/>
      <c r="F111" s="3"/>
      <c r="G111" s="3"/>
    </row>
    <row r="112" spans="1:7" ht="18" customHeight="1" x14ac:dyDescent="0.35">
      <c r="A112" s="3"/>
      <c r="B112" s="3"/>
      <c r="C112" s="3"/>
      <c r="D112" s="3"/>
      <c r="E112" s="3"/>
      <c r="F112" s="3"/>
      <c r="G112" s="3"/>
    </row>
    <row r="113" spans="1:7" ht="18" customHeight="1" x14ac:dyDescent="0.35">
      <c r="A113" s="3"/>
      <c r="B113" s="3"/>
      <c r="C113" s="3"/>
      <c r="D113" s="3"/>
      <c r="E113" s="3"/>
      <c r="F113" s="3"/>
      <c r="G113" s="3"/>
    </row>
    <row r="114" spans="1:7" ht="18" customHeight="1" x14ac:dyDescent="0.35">
      <c r="A114" s="3"/>
      <c r="B114" s="3"/>
      <c r="C114" s="3"/>
      <c r="D114" s="3"/>
      <c r="E114" s="3"/>
      <c r="F114" s="3"/>
      <c r="G114" s="3"/>
    </row>
    <row r="115" spans="1:7" ht="18" customHeight="1" x14ac:dyDescent="0.35">
      <c r="A115" s="3"/>
      <c r="B115" s="3"/>
      <c r="C115" s="3"/>
      <c r="D115" s="3"/>
      <c r="E115" s="3"/>
      <c r="F115" s="3"/>
      <c r="G115" s="3"/>
    </row>
    <row r="116" spans="1:7" ht="18" customHeight="1" x14ac:dyDescent="0.35">
      <c r="A116" s="3"/>
      <c r="B116" s="3"/>
      <c r="C116" s="3"/>
      <c r="D116" s="3"/>
      <c r="E116" s="3"/>
      <c r="F116" s="3"/>
      <c r="G116" s="3"/>
    </row>
    <row r="117" spans="1:7" ht="18" customHeight="1" x14ac:dyDescent="0.35">
      <c r="A117" s="3"/>
      <c r="B117" s="3"/>
      <c r="C117" s="3"/>
      <c r="D117" s="3"/>
      <c r="E117" s="3"/>
      <c r="F117" s="3"/>
      <c r="G117" s="3"/>
    </row>
    <row r="118" spans="1:7" ht="18" customHeight="1" x14ac:dyDescent="0.35">
      <c r="A118" s="3"/>
      <c r="B118" s="3"/>
      <c r="C118" s="3"/>
      <c r="D118" s="3"/>
      <c r="E118" s="3"/>
      <c r="F118" s="3"/>
      <c r="G118" s="3"/>
    </row>
    <row r="119" spans="1:7" ht="18" customHeight="1" x14ac:dyDescent="0.35">
      <c r="A119" s="3"/>
      <c r="B119" s="3"/>
      <c r="C119" s="3"/>
      <c r="D119" s="3"/>
      <c r="E119" s="3"/>
      <c r="F119" s="3"/>
      <c r="G119" s="3"/>
    </row>
    <row r="120" spans="1:7" ht="18" customHeight="1" x14ac:dyDescent="0.35">
      <c r="A120" s="3"/>
      <c r="B120" s="3"/>
      <c r="C120" s="3"/>
      <c r="D120" s="3"/>
      <c r="E120" s="3"/>
      <c r="F120" s="3"/>
      <c r="G120" s="3"/>
    </row>
    <row r="121" spans="1:7" ht="18" customHeight="1" x14ac:dyDescent="0.35">
      <c r="A121" s="3"/>
      <c r="B121" s="3"/>
      <c r="C121" s="3"/>
      <c r="D121" s="3"/>
      <c r="E121" s="3"/>
      <c r="F121" s="3"/>
      <c r="G121" s="3"/>
    </row>
    <row r="122" spans="1:7" ht="18" customHeight="1" x14ac:dyDescent="0.35">
      <c r="A122" s="3"/>
      <c r="B122" s="3"/>
      <c r="C122" s="3"/>
      <c r="D122" s="3"/>
      <c r="E122" s="3"/>
      <c r="F122" s="3"/>
      <c r="G122" s="3"/>
    </row>
    <row r="123" spans="1:7" ht="18" customHeight="1" x14ac:dyDescent="0.35">
      <c r="A123" s="3"/>
      <c r="B123" s="3"/>
      <c r="C123" s="3"/>
      <c r="D123" s="3"/>
      <c r="E123" s="3"/>
      <c r="F123" s="3"/>
      <c r="G123" s="3"/>
    </row>
    <row r="124" spans="1:7" ht="18" customHeight="1" x14ac:dyDescent="0.35">
      <c r="A124" s="3"/>
      <c r="B124" s="3"/>
      <c r="C124" s="3"/>
      <c r="D124" s="3"/>
      <c r="E124" s="3"/>
      <c r="F124" s="3"/>
      <c r="G124" s="3"/>
    </row>
    <row r="125" spans="1:7" ht="18" customHeight="1" x14ac:dyDescent="0.35">
      <c r="A125" s="3"/>
      <c r="B125" s="3"/>
      <c r="C125" s="3"/>
      <c r="D125" s="3"/>
      <c r="E125" s="3"/>
      <c r="F125" s="3"/>
      <c r="G125" s="3"/>
    </row>
    <row r="126" spans="1:7" ht="18" customHeight="1" x14ac:dyDescent="0.35">
      <c r="A126" s="3"/>
      <c r="B126" s="3"/>
      <c r="C126" s="3"/>
      <c r="D126" s="3"/>
      <c r="E126" s="3"/>
      <c r="F126" s="3"/>
      <c r="G126" s="3"/>
    </row>
    <row r="127" spans="1:7" ht="18" customHeight="1" x14ac:dyDescent="0.35">
      <c r="A127" s="3"/>
      <c r="B127" s="3"/>
      <c r="C127" s="3"/>
      <c r="D127" s="3"/>
      <c r="E127" s="3"/>
      <c r="F127" s="3"/>
      <c r="G127" s="3"/>
    </row>
    <row r="128" spans="1:7" ht="18" customHeight="1" x14ac:dyDescent="0.35">
      <c r="A128" s="3"/>
      <c r="B128" s="3"/>
      <c r="C128" s="3"/>
      <c r="D128" s="3"/>
      <c r="E128" s="3"/>
      <c r="F128" s="3"/>
      <c r="G128" s="3"/>
    </row>
    <row r="129" spans="1:7" ht="18" customHeight="1" x14ac:dyDescent="0.35">
      <c r="A129" s="3"/>
      <c r="B129" s="3"/>
      <c r="C129" s="3"/>
      <c r="D129" s="3"/>
      <c r="E129" s="3"/>
      <c r="F129" s="3"/>
      <c r="G129" s="3"/>
    </row>
    <row r="130" spans="1:7" ht="18" customHeight="1" x14ac:dyDescent="0.35">
      <c r="A130" s="3"/>
      <c r="B130" s="3"/>
      <c r="C130" s="3"/>
      <c r="D130" s="3"/>
      <c r="E130" s="3"/>
      <c r="F130" s="3"/>
      <c r="G130" s="3"/>
    </row>
    <row r="131" spans="1:7" ht="18" customHeight="1" x14ac:dyDescent="0.35">
      <c r="A131" s="3"/>
      <c r="B131" s="3"/>
      <c r="C131" s="3"/>
      <c r="D131" s="3"/>
      <c r="E131" s="3"/>
      <c r="F131" s="3"/>
      <c r="G131" s="3"/>
    </row>
    <row r="132" spans="1:7" ht="18" customHeight="1" x14ac:dyDescent="0.35">
      <c r="A132" s="3"/>
      <c r="B132" s="3"/>
      <c r="C132" s="3"/>
      <c r="D132" s="3"/>
      <c r="E132" s="3"/>
      <c r="F132" s="3"/>
      <c r="G132" s="3"/>
    </row>
    <row r="133" spans="1:7" ht="18" customHeight="1" x14ac:dyDescent="0.35">
      <c r="A133" s="3"/>
      <c r="B133" s="3"/>
      <c r="C133" s="3"/>
      <c r="D133" s="3"/>
      <c r="E133" s="3"/>
      <c r="F133" s="3"/>
      <c r="G133" s="3"/>
    </row>
    <row r="134" spans="1:7" ht="18" customHeight="1" x14ac:dyDescent="0.35">
      <c r="A134" s="3"/>
      <c r="B134" s="3"/>
      <c r="C134" s="3"/>
      <c r="D134" s="3"/>
      <c r="E134" s="3"/>
      <c r="F134" s="3"/>
      <c r="G134" s="3"/>
    </row>
    <row r="135" spans="1:7" ht="18" customHeight="1" x14ac:dyDescent="0.35">
      <c r="A135" s="3"/>
      <c r="B135" s="3"/>
      <c r="C135" s="3"/>
      <c r="D135" s="3"/>
      <c r="E135" s="3"/>
      <c r="F135" s="3"/>
      <c r="G135" s="3"/>
    </row>
    <row r="136" spans="1:7" ht="18" customHeight="1" x14ac:dyDescent="0.35">
      <c r="A136" s="3"/>
      <c r="B136" s="3"/>
      <c r="C136" s="3"/>
      <c r="D136" s="3"/>
      <c r="E136" s="3"/>
      <c r="F136" s="3"/>
      <c r="G136" s="3"/>
    </row>
    <row r="137" spans="1:7" ht="18" customHeight="1" x14ac:dyDescent="0.35">
      <c r="A137" s="3"/>
      <c r="B137" s="3"/>
      <c r="C137" s="3"/>
      <c r="D137" s="3"/>
      <c r="E137" s="3"/>
      <c r="F137" s="3"/>
      <c r="G137" s="3"/>
    </row>
    <row r="138" spans="1:7" ht="18" customHeight="1" x14ac:dyDescent="0.35">
      <c r="A138" s="3"/>
      <c r="B138" s="3"/>
      <c r="C138" s="3"/>
      <c r="D138" s="3"/>
      <c r="E138" s="3"/>
      <c r="F138" s="3"/>
      <c r="G138" s="3"/>
    </row>
    <row r="139" spans="1:7" ht="18" customHeight="1" x14ac:dyDescent="0.35">
      <c r="A139" s="3"/>
      <c r="B139" s="3"/>
      <c r="C139" s="3"/>
      <c r="D139" s="3"/>
      <c r="E139" s="3"/>
      <c r="F139" s="3"/>
      <c r="G139" s="3"/>
    </row>
    <row r="140" spans="1:7" ht="18" customHeight="1" x14ac:dyDescent="0.35">
      <c r="A140" s="3"/>
      <c r="B140" s="3"/>
      <c r="C140" s="3"/>
      <c r="D140" s="3"/>
      <c r="E140" s="3"/>
      <c r="F140" s="3"/>
      <c r="G140" s="3"/>
    </row>
    <row r="141" spans="1:7" ht="18" customHeight="1" x14ac:dyDescent="0.35">
      <c r="A141" s="3"/>
      <c r="B141" s="3"/>
      <c r="C141" s="3"/>
      <c r="D141" s="3"/>
      <c r="E141" s="3"/>
      <c r="F141" s="3"/>
      <c r="G141" s="3"/>
    </row>
    <row r="142" spans="1:7" ht="18" customHeight="1" x14ac:dyDescent="0.35">
      <c r="A142" s="3"/>
      <c r="B142" s="3"/>
      <c r="C142" s="3"/>
      <c r="D142" s="3"/>
      <c r="E142" s="3"/>
      <c r="F142" s="3"/>
      <c r="G142" s="3"/>
    </row>
    <row r="143" spans="1:7" ht="18" customHeight="1" x14ac:dyDescent="0.35">
      <c r="A143" s="3"/>
      <c r="B143" s="3"/>
      <c r="C143" s="3"/>
      <c r="D143" s="3"/>
      <c r="E143" s="3"/>
      <c r="F143" s="3"/>
      <c r="G143" s="3"/>
    </row>
    <row r="144" spans="1:7" ht="18" customHeight="1" x14ac:dyDescent="0.35">
      <c r="A144" s="3"/>
      <c r="B144" s="3"/>
      <c r="C144" s="3"/>
      <c r="D144" s="3"/>
      <c r="E144" s="3"/>
      <c r="F144" s="3"/>
      <c r="G144" s="3"/>
    </row>
    <row r="145" spans="1:7" ht="18" customHeight="1" x14ac:dyDescent="0.35">
      <c r="A145" s="3"/>
      <c r="B145" s="3"/>
      <c r="C145" s="3"/>
      <c r="D145" s="3"/>
      <c r="E145" s="3"/>
      <c r="F145" s="3"/>
      <c r="G145" s="3"/>
    </row>
    <row r="146" spans="1:7" ht="18" customHeight="1" x14ac:dyDescent="0.35">
      <c r="A146" s="3"/>
      <c r="B146" s="3"/>
      <c r="C146" s="3"/>
      <c r="D146" s="3"/>
      <c r="E146" s="3"/>
      <c r="F146" s="3"/>
      <c r="G146" s="3"/>
    </row>
    <row r="147" spans="1:7" ht="18" customHeight="1" x14ac:dyDescent="0.35">
      <c r="A147" s="3"/>
      <c r="B147" s="3"/>
      <c r="C147" s="3"/>
      <c r="D147" s="3"/>
      <c r="E147" s="3"/>
      <c r="F147" s="3"/>
      <c r="G147" s="3"/>
    </row>
    <row r="148" spans="1:7" ht="18" customHeight="1" x14ac:dyDescent="0.35">
      <c r="A148" s="3"/>
      <c r="B148" s="3"/>
      <c r="C148" s="3"/>
      <c r="D148" s="3"/>
      <c r="E148" s="3"/>
      <c r="F148" s="3"/>
      <c r="G148" s="3"/>
    </row>
    <row r="149" spans="1:7" ht="18" customHeight="1" x14ac:dyDescent="0.35">
      <c r="A149" s="3"/>
      <c r="B149" s="3"/>
      <c r="C149" s="3"/>
      <c r="D149" s="3"/>
      <c r="E149" s="3"/>
      <c r="F149" s="3"/>
      <c r="G149" s="3"/>
    </row>
    <row r="150" spans="1:7" ht="18" customHeight="1" x14ac:dyDescent="0.35">
      <c r="A150" s="3"/>
      <c r="B150" s="3"/>
      <c r="C150" s="3"/>
      <c r="D150" s="3"/>
      <c r="E150" s="3"/>
      <c r="F150" s="3"/>
      <c r="G150" s="3"/>
    </row>
    <row r="151" spans="1:7" ht="18" customHeight="1" x14ac:dyDescent="0.35">
      <c r="A151" s="3"/>
      <c r="B151" s="3"/>
      <c r="C151" s="3"/>
      <c r="D151" s="3"/>
      <c r="E151" s="3"/>
      <c r="F151" s="3"/>
      <c r="G151" s="3"/>
    </row>
    <row r="152" spans="1:7" ht="18" customHeight="1" x14ac:dyDescent="0.35">
      <c r="A152" s="3"/>
      <c r="B152" s="3"/>
      <c r="C152" s="3"/>
      <c r="D152" s="3"/>
      <c r="E152" s="3"/>
      <c r="F152" s="3"/>
      <c r="G152" s="3"/>
    </row>
    <row r="153" spans="1:7" ht="18" customHeight="1" x14ac:dyDescent="0.35">
      <c r="A153" s="3"/>
      <c r="B153" s="3"/>
      <c r="C153" s="3"/>
      <c r="D153" s="3"/>
      <c r="E153" s="3"/>
      <c r="F153" s="3"/>
      <c r="G153" s="3"/>
    </row>
    <row r="154" spans="1:7" ht="18" customHeight="1" x14ac:dyDescent="0.35">
      <c r="A154" s="3"/>
      <c r="B154" s="3"/>
      <c r="C154" s="3"/>
      <c r="D154" s="3"/>
      <c r="E154" s="3"/>
      <c r="F154" s="3"/>
      <c r="G154" s="3"/>
    </row>
    <row r="155" spans="1:7" ht="18" customHeight="1" x14ac:dyDescent="0.35">
      <c r="A155" s="3"/>
      <c r="B155" s="3"/>
      <c r="C155" s="3"/>
      <c r="D155" s="3"/>
      <c r="E155" s="3"/>
      <c r="F155" s="3"/>
      <c r="G155" s="3"/>
    </row>
    <row r="156" spans="1:7" ht="18" customHeight="1" x14ac:dyDescent="0.35">
      <c r="A156" s="3"/>
      <c r="B156" s="3"/>
      <c r="C156" s="3"/>
      <c r="D156" s="3"/>
      <c r="E156" s="3"/>
      <c r="F156" s="3"/>
      <c r="G156" s="3"/>
    </row>
    <row r="157" spans="1:7" ht="18" customHeight="1" x14ac:dyDescent="0.35">
      <c r="A157" s="3"/>
      <c r="B157" s="3"/>
      <c r="C157" s="3"/>
      <c r="D157" s="3"/>
      <c r="E157" s="3"/>
      <c r="F157" s="3"/>
      <c r="G157" s="3"/>
    </row>
    <row r="158" spans="1:7" ht="18" customHeight="1" x14ac:dyDescent="0.35">
      <c r="A158" s="3"/>
      <c r="B158" s="3"/>
      <c r="C158" s="3"/>
      <c r="D158" s="3"/>
      <c r="E158" s="3"/>
      <c r="F158" s="3"/>
      <c r="G158" s="3"/>
    </row>
    <row r="159" spans="1:7" ht="18" customHeight="1" x14ac:dyDescent="0.35">
      <c r="A159" s="3"/>
      <c r="B159" s="3"/>
      <c r="C159" s="3"/>
      <c r="D159" s="3"/>
      <c r="E159" s="3"/>
      <c r="F159" s="3"/>
      <c r="G159" s="3"/>
    </row>
    <row r="160" spans="1:7" ht="18" customHeight="1" x14ac:dyDescent="0.35">
      <c r="A160" s="3"/>
      <c r="B160" s="3"/>
      <c r="C160" s="3"/>
      <c r="D160" s="3"/>
      <c r="E160" s="3"/>
      <c r="F160" s="3"/>
      <c r="G160" s="3"/>
    </row>
    <row r="161" spans="1:7" ht="18" customHeight="1" x14ac:dyDescent="0.35">
      <c r="A161" s="3"/>
      <c r="B161" s="3"/>
      <c r="C161" s="3"/>
      <c r="D161" s="3"/>
      <c r="E161" s="3"/>
      <c r="F161" s="3"/>
      <c r="G161" s="3"/>
    </row>
    <row r="162" spans="1:7" ht="18" customHeight="1" x14ac:dyDescent="0.35">
      <c r="A162" s="3"/>
      <c r="B162" s="3"/>
      <c r="C162" s="3"/>
      <c r="D162" s="3"/>
      <c r="E162" s="3"/>
      <c r="F162" s="3"/>
      <c r="G162" s="3"/>
    </row>
    <row r="163" spans="1:7" ht="18" customHeight="1" x14ac:dyDescent="0.35">
      <c r="A163" s="3"/>
      <c r="B163" s="3"/>
      <c r="C163" s="3"/>
      <c r="D163" s="3"/>
      <c r="E163" s="3"/>
      <c r="F163" s="3"/>
      <c r="G163" s="3"/>
    </row>
    <row r="164" spans="1:7" ht="18" customHeight="1" x14ac:dyDescent="0.35">
      <c r="A164" s="3"/>
      <c r="B164" s="3"/>
      <c r="C164" s="3"/>
      <c r="D164" s="3"/>
      <c r="E164" s="3"/>
      <c r="F164" s="3"/>
      <c r="G164" s="3"/>
    </row>
    <row r="165" spans="1:7" ht="18" customHeight="1" x14ac:dyDescent="0.35">
      <c r="A165" s="3"/>
      <c r="B165" s="3"/>
      <c r="C165" s="3"/>
      <c r="D165" s="3"/>
      <c r="E165" s="3"/>
      <c r="F165" s="3"/>
      <c r="G165" s="3"/>
    </row>
    <row r="166" spans="1:7" ht="18" customHeight="1" x14ac:dyDescent="0.35">
      <c r="A166" s="3"/>
      <c r="B166" s="3"/>
      <c r="C166" s="3"/>
      <c r="D166" s="3"/>
      <c r="E166" s="3"/>
      <c r="F166" s="3"/>
      <c r="G166" s="3"/>
    </row>
    <row r="167" spans="1:7" ht="18" customHeight="1" x14ac:dyDescent="0.35">
      <c r="A167" s="3"/>
      <c r="B167" s="3"/>
      <c r="C167" s="3"/>
      <c r="D167" s="3"/>
      <c r="E167" s="3"/>
      <c r="F167" s="3"/>
      <c r="G167" s="3"/>
    </row>
    <row r="168" spans="1:7" ht="18" customHeight="1" x14ac:dyDescent="0.35">
      <c r="A168" s="3"/>
      <c r="B168" s="3"/>
      <c r="C168" s="3"/>
      <c r="D168" s="3"/>
      <c r="E168" s="3"/>
      <c r="F168" s="3"/>
      <c r="G168" s="3"/>
    </row>
    <row r="169" spans="1:7" ht="18" customHeight="1" x14ac:dyDescent="0.35">
      <c r="A169" s="3"/>
      <c r="B169" s="3"/>
      <c r="C169" s="3"/>
      <c r="D169" s="3"/>
      <c r="E169" s="3"/>
      <c r="F169" s="3"/>
      <c r="G169" s="3"/>
    </row>
    <row r="170" spans="1:7" ht="18" customHeight="1" x14ac:dyDescent="0.35">
      <c r="A170" s="3"/>
      <c r="B170" s="3"/>
      <c r="C170" s="3"/>
      <c r="D170" s="3"/>
      <c r="E170" s="3"/>
      <c r="F170" s="3"/>
      <c r="G170" s="3"/>
    </row>
    <row r="171" spans="1:7" ht="18" customHeight="1" x14ac:dyDescent="0.35">
      <c r="A171" s="3"/>
      <c r="B171" s="3"/>
      <c r="C171" s="3"/>
      <c r="D171" s="3"/>
      <c r="E171" s="3"/>
      <c r="F171" s="3"/>
      <c r="G171" s="3"/>
    </row>
    <row r="172" spans="1:7" ht="18" customHeight="1" x14ac:dyDescent="0.35">
      <c r="A172" s="3"/>
      <c r="B172" s="3"/>
      <c r="C172" s="3"/>
      <c r="D172" s="3"/>
      <c r="E172" s="3"/>
      <c r="F172" s="3"/>
      <c r="G172" s="3"/>
    </row>
    <row r="173" spans="1:7" ht="18" customHeight="1" x14ac:dyDescent="0.35">
      <c r="A173" s="3"/>
      <c r="B173" s="3"/>
      <c r="C173" s="3"/>
      <c r="D173" s="3"/>
      <c r="E173" s="3"/>
      <c r="F173" s="3"/>
      <c r="G173" s="3"/>
    </row>
    <row r="174" spans="1:7" ht="18" customHeight="1" x14ac:dyDescent="0.35">
      <c r="A174" s="3"/>
      <c r="B174" s="3"/>
      <c r="C174" s="3"/>
      <c r="D174" s="3"/>
      <c r="E174" s="3"/>
      <c r="F174" s="3"/>
      <c r="G174" s="3"/>
    </row>
    <row r="175" spans="1:7" ht="18" customHeight="1" x14ac:dyDescent="0.35">
      <c r="A175" s="3"/>
      <c r="B175" s="3"/>
      <c r="C175" s="3"/>
      <c r="D175" s="3"/>
      <c r="E175" s="3"/>
      <c r="F175" s="3"/>
      <c r="G175" s="3"/>
    </row>
    <row r="176" spans="1:7" ht="18" customHeight="1" x14ac:dyDescent="0.35">
      <c r="A176" s="3"/>
      <c r="B176" s="3"/>
      <c r="C176" s="3"/>
      <c r="D176" s="3"/>
      <c r="E176" s="3"/>
      <c r="F176" s="3"/>
      <c r="G176" s="3"/>
    </row>
    <row r="177" spans="1:7" ht="18" customHeight="1" x14ac:dyDescent="0.35">
      <c r="A177" s="3"/>
      <c r="B177" s="3"/>
      <c r="C177" s="3"/>
      <c r="D177" s="3"/>
      <c r="E177" s="3"/>
      <c r="F177" s="3"/>
      <c r="G177" s="3"/>
    </row>
    <row r="178" spans="1:7" ht="18" customHeight="1" x14ac:dyDescent="0.35">
      <c r="A178" s="3"/>
      <c r="B178" s="3"/>
      <c r="C178" s="3"/>
      <c r="D178" s="3"/>
      <c r="E178" s="3"/>
      <c r="F178" s="3"/>
      <c r="G178" s="3"/>
    </row>
    <row r="179" spans="1:7" ht="18" customHeight="1" x14ac:dyDescent="0.35">
      <c r="A179" s="3"/>
      <c r="B179" s="3"/>
      <c r="C179" s="3"/>
      <c r="D179" s="3"/>
      <c r="E179" s="3"/>
      <c r="F179" s="3"/>
      <c r="G179" s="3"/>
    </row>
    <row r="180" spans="1:7" ht="18" customHeight="1" x14ac:dyDescent="0.35">
      <c r="A180" s="3"/>
      <c r="B180" s="3"/>
      <c r="C180" s="3"/>
      <c r="D180" s="3"/>
      <c r="E180" s="3"/>
      <c r="F180" s="3"/>
      <c r="G180" s="3"/>
    </row>
    <row r="181" spans="1:7" ht="18" customHeight="1" x14ac:dyDescent="0.35">
      <c r="A181" s="3"/>
      <c r="B181" s="3"/>
      <c r="C181" s="3"/>
      <c r="D181" s="3"/>
      <c r="E181" s="3"/>
      <c r="F181" s="3"/>
      <c r="G181" s="3"/>
    </row>
    <row r="182" spans="1:7" ht="18" customHeight="1" x14ac:dyDescent="0.35">
      <c r="A182" s="3"/>
      <c r="B182" s="3"/>
      <c r="C182" s="3"/>
      <c r="D182" s="3"/>
      <c r="E182" s="3"/>
      <c r="F182" s="3"/>
      <c r="G182" s="3"/>
    </row>
    <row r="183" spans="1:7" ht="18" customHeight="1" x14ac:dyDescent="0.35">
      <c r="A183" s="3"/>
      <c r="B183" s="3"/>
      <c r="C183" s="3"/>
      <c r="D183" s="3"/>
      <c r="E183" s="3"/>
      <c r="F183" s="3"/>
      <c r="G183" s="3"/>
    </row>
    <row r="184" spans="1:7" ht="18" customHeight="1" x14ac:dyDescent="0.35">
      <c r="A184" s="3"/>
      <c r="B184" s="3"/>
      <c r="C184" s="3"/>
      <c r="D184" s="3"/>
      <c r="E184" s="3"/>
      <c r="F184" s="3"/>
      <c r="G184" s="3"/>
    </row>
    <row r="185" spans="1:7" ht="18" customHeight="1" x14ac:dyDescent="0.35">
      <c r="A185" s="3"/>
      <c r="B185" s="3"/>
      <c r="C185" s="3"/>
      <c r="D185" s="3"/>
      <c r="E185" s="3"/>
      <c r="F185" s="3"/>
      <c r="G185" s="3"/>
    </row>
    <row r="186" spans="1:7" ht="18" customHeight="1" x14ac:dyDescent="0.35">
      <c r="A186" s="3"/>
      <c r="B186" s="3"/>
      <c r="C186" s="3"/>
      <c r="D186" s="3"/>
      <c r="E186" s="3"/>
      <c r="F186" s="3"/>
      <c r="G186" s="3"/>
    </row>
    <row r="187" spans="1:7" ht="18" customHeight="1" x14ac:dyDescent="0.35">
      <c r="A187" s="3"/>
      <c r="B187" s="3"/>
      <c r="C187" s="3"/>
      <c r="D187" s="3"/>
      <c r="E187" s="3"/>
      <c r="F187" s="3"/>
      <c r="G187" s="3"/>
    </row>
    <row r="188" spans="1:7" ht="18" customHeight="1" x14ac:dyDescent="0.35">
      <c r="A188" s="3"/>
      <c r="B188" s="3"/>
      <c r="C188" s="3"/>
      <c r="D188" s="3"/>
      <c r="E188" s="3"/>
      <c r="F188" s="3"/>
      <c r="G188" s="3"/>
    </row>
    <row r="189" spans="1:7" ht="18" customHeight="1" x14ac:dyDescent="0.35">
      <c r="A189" s="3"/>
      <c r="B189" s="3"/>
      <c r="C189" s="3"/>
      <c r="D189" s="3"/>
      <c r="E189" s="3"/>
      <c r="F189" s="3"/>
      <c r="G189" s="3"/>
    </row>
    <row r="190" spans="1:7" ht="18" customHeight="1" x14ac:dyDescent="0.35">
      <c r="A190" s="3"/>
      <c r="B190" s="3"/>
      <c r="C190" s="3"/>
      <c r="D190" s="3"/>
      <c r="E190" s="3"/>
      <c r="F190" s="3"/>
      <c r="G190" s="3"/>
    </row>
    <row r="191" spans="1:7" ht="18" customHeight="1" x14ac:dyDescent="0.35">
      <c r="A191" s="3"/>
      <c r="B191" s="3"/>
      <c r="C191" s="3"/>
      <c r="D191" s="3"/>
      <c r="E191" s="3"/>
      <c r="F191" s="3"/>
      <c r="G191" s="3"/>
    </row>
    <row r="192" spans="1:7" ht="18" customHeight="1" x14ac:dyDescent="0.35">
      <c r="A192" s="3"/>
      <c r="B192" s="3"/>
      <c r="C192" s="3"/>
      <c r="D192" s="3"/>
      <c r="E192" s="3"/>
      <c r="F192" s="3"/>
      <c r="G192" s="3"/>
    </row>
    <row r="193" spans="1:7" ht="18" customHeight="1" x14ac:dyDescent="0.35">
      <c r="A193" s="3"/>
      <c r="B193" s="3"/>
      <c r="C193" s="3"/>
      <c r="D193" s="3"/>
      <c r="E193" s="3"/>
      <c r="F193" s="3"/>
      <c r="G193" s="3"/>
    </row>
    <row r="194" spans="1:7" ht="18" customHeight="1" x14ac:dyDescent="0.35">
      <c r="A194" s="3"/>
      <c r="B194" s="3"/>
      <c r="C194" s="3"/>
      <c r="D194" s="3"/>
      <c r="E194" s="3"/>
      <c r="F194" s="3"/>
      <c r="G194" s="3"/>
    </row>
    <row r="195" spans="1:7" ht="18" customHeight="1" x14ac:dyDescent="0.35">
      <c r="A195" s="3"/>
      <c r="B195" s="3"/>
      <c r="C195" s="3"/>
      <c r="D195" s="3"/>
      <c r="E195" s="3"/>
      <c r="F195" s="3"/>
      <c r="G195" s="3"/>
    </row>
    <row r="196" spans="1:7" ht="18" customHeight="1" x14ac:dyDescent="0.35">
      <c r="A196" s="3"/>
      <c r="B196" s="3"/>
      <c r="C196" s="3"/>
      <c r="D196" s="3"/>
      <c r="E196" s="3"/>
      <c r="F196" s="3"/>
      <c r="G196" s="3"/>
    </row>
    <row r="197" spans="1:7" ht="18" customHeight="1" x14ac:dyDescent="0.35">
      <c r="A197" s="3"/>
      <c r="B197" s="3"/>
      <c r="C197" s="3"/>
      <c r="D197" s="3"/>
      <c r="E197" s="3"/>
      <c r="F197" s="3"/>
      <c r="G197" s="3"/>
    </row>
    <row r="198" spans="1:7" ht="18" customHeight="1" x14ac:dyDescent="0.35">
      <c r="A198" s="3"/>
      <c r="B198" s="3"/>
      <c r="C198" s="3"/>
      <c r="D198" s="3"/>
      <c r="E198" s="3"/>
      <c r="F198" s="3"/>
      <c r="G198" s="3"/>
    </row>
    <row r="199" spans="1:7" ht="18" customHeight="1" x14ac:dyDescent="0.35">
      <c r="A199" s="3"/>
      <c r="B199" s="3"/>
      <c r="C199" s="3"/>
      <c r="D199" s="3"/>
      <c r="E199" s="3"/>
      <c r="F199" s="3"/>
      <c r="G199" s="3"/>
    </row>
    <row r="200" spans="1:7" ht="18" customHeight="1" x14ac:dyDescent="0.35">
      <c r="A200" s="3"/>
      <c r="B200" s="3"/>
      <c r="C200" s="3"/>
      <c r="D200" s="3"/>
      <c r="E200" s="3"/>
      <c r="F200" s="3"/>
      <c r="G200" s="3"/>
    </row>
    <row r="201" spans="1:7" ht="18" customHeight="1" x14ac:dyDescent="0.35">
      <c r="A201" s="3"/>
      <c r="B201" s="3"/>
      <c r="C201" s="3"/>
      <c r="D201" s="3"/>
      <c r="E201" s="3"/>
      <c r="F201" s="3"/>
      <c r="G201" s="3"/>
    </row>
    <row r="202" spans="1:7" ht="18" customHeight="1" x14ac:dyDescent="0.35">
      <c r="A202" s="3"/>
      <c r="B202" s="3"/>
      <c r="C202" s="3"/>
      <c r="D202" s="3"/>
      <c r="E202" s="3"/>
      <c r="F202" s="3"/>
      <c r="G202" s="3"/>
    </row>
    <row r="203" spans="1:7" ht="18" customHeight="1" x14ac:dyDescent="0.35">
      <c r="A203" s="3"/>
      <c r="B203" s="3"/>
      <c r="C203" s="3"/>
      <c r="D203" s="3"/>
      <c r="E203" s="3"/>
      <c r="F203" s="3"/>
      <c r="G203" s="3"/>
    </row>
    <row r="204" spans="1:7" ht="18" customHeight="1" x14ac:dyDescent="0.35">
      <c r="A204" s="3"/>
      <c r="B204" s="3"/>
      <c r="C204" s="3"/>
      <c r="D204" s="3"/>
      <c r="E204" s="3"/>
      <c r="F204" s="3"/>
      <c r="G204" s="3"/>
    </row>
    <row r="205" spans="1:7" ht="18" customHeight="1" x14ac:dyDescent="0.35">
      <c r="A205" s="3"/>
      <c r="B205" s="3"/>
      <c r="C205" s="3"/>
      <c r="D205" s="3"/>
      <c r="E205" s="3"/>
      <c r="F205" s="3"/>
      <c r="G205" s="3"/>
    </row>
    <row r="206" spans="1:7" ht="18" customHeight="1" x14ac:dyDescent="0.35">
      <c r="A206" s="3"/>
      <c r="B206" s="3"/>
      <c r="C206" s="3"/>
      <c r="D206" s="3"/>
      <c r="E206" s="3"/>
      <c r="F206" s="3"/>
      <c r="G206" s="3"/>
    </row>
    <row r="207" spans="1:7" ht="18" customHeight="1" x14ac:dyDescent="0.35">
      <c r="A207" s="3"/>
      <c r="B207" s="3"/>
      <c r="C207" s="3"/>
      <c r="D207" s="3"/>
      <c r="E207" s="3"/>
      <c r="F207" s="3"/>
      <c r="G207" s="3"/>
    </row>
    <row r="208" spans="1:7" ht="18" customHeight="1" x14ac:dyDescent="0.35">
      <c r="A208" s="3"/>
      <c r="B208" s="3"/>
      <c r="C208" s="3"/>
      <c r="D208" s="3"/>
      <c r="E208" s="3"/>
      <c r="F208" s="3"/>
      <c r="G208" s="3"/>
    </row>
    <row r="209" spans="1:7" ht="18" customHeight="1" x14ac:dyDescent="0.35">
      <c r="A209" s="3"/>
      <c r="B209" s="3"/>
      <c r="C209" s="3"/>
      <c r="D209" s="3"/>
      <c r="E209" s="3"/>
      <c r="F209" s="3"/>
      <c r="G209" s="3"/>
    </row>
    <row r="210" spans="1:7" ht="18" customHeight="1" x14ac:dyDescent="0.35">
      <c r="A210" s="3"/>
      <c r="B210" s="3"/>
      <c r="C210" s="3"/>
      <c r="D210" s="3"/>
      <c r="E210" s="3"/>
      <c r="F210" s="3"/>
      <c r="G210" s="3"/>
    </row>
    <row r="211" spans="1:7" ht="18" customHeight="1" x14ac:dyDescent="0.35">
      <c r="A211" s="3"/>
      <c r="B211" s="3"/>
      <c r="C211" s="3"/>
      <c r="D211" s="3"/>
      <c r="E211" s="3"/>
      <c r="F211" s="3"/>
      <c r="G211" s="3"/>
    </row>
    <row r="212" spans="1:7" ht="18" customHeight="1" x14ac:dyDescent="0.35">
      <c r="A212" s="3"/>
      <c r="B212" s="3"/>
      <c r="C212" s="3"/>
      <c r="D212" s="3"/>
      <c r="E212" s="3"/>
      <c r="F212" s="3"/>
      <c r="G212" s="3"/>
    </row>
    <row r="213" spans="1:7" ht="18" customHeight="1" x14ac:dyDescent="0.35">
      <c r="A213" s="3"/>
      <c r="B213" s="3"/>
      <c r="C213" s="3"/>
      <c r="D213" s="3"/>
      <c r="E213" s="3"/>
      <c r="F213" s="3"/>
      <c r="G213" s="3"/>
    </row>
    <row r="214" spans="1:7" ht="18" customHeight="1" x14ac:dyDescent="0.35">
      <c r="A214" s="3"/>
      <c r="B214" s="3"/>
      <c r="C214" s="3"/>
      <c r="D214" s="3"/>
      <c r="E214" s="3"/>
      <c r="F214" s="3"/>
      <c r="G214" s="3"/>
    </row>
    <row r="215" spans="1:7" ht="18" customHeight="1" x14ac:dyDescent="0.35">
      <c r="A215" s="3"/>
      <c r="B215" s="3"/>
      <c r="C215" s="3"/>
      <c r="D215" s="3"/>
      <c r="E215" s="3"/>
      <c r="F215" s="3"/>
      <c r="G215" s="3"/>
    </row>
    <row r="216" spans="1:7" ht="18" customHeight="1" x14ac:dyDescent="0.35">
      <c r="A216" s="3"/>
      <c r="B216" s="3"/>
      <c r="C216" s="3"/>
      <c r="D216" s="3"/>
      <c r="E216" s="3"/>
      <c r="F216" s="3"/>
      <c r="G216" s="3"/>
    </row>
    <row r="217" spans="1:7" ht="18" customHeight="1" x14ac:dyDescent="0.35">
      <c r="A217" s="3"/>
      <c r="B217" s="3"/>
      <c r="C217" s="3"/>
      <c r="D217" s="3"/>
      <c r="E217" s="3"/>
      <c r="F217" s="3"/>
      <c r="G217" s="3"/>
    </row>
    <row r="218" spans="1:7" ht="18" customHeight="1" x14ac:dyDescent="0.35">
      <c r="A218" s="3"/>
      <c r="B218" s="3"/>
      <c r="C218" s="3"/>
      <c r="D218" s="3"/>
      <c r="E218" s="3"/>
      <c r="F218" s="3"/>
      <c r="G218" s="3"/>
    </row>
    <row r="219" spans="1:7" ht="18" customHeight="1" x14ac:dyDescent="0.35">
      <c r="A219" s="3"/>
      <c r="B219" s="3"/>
      <c r="C219" s="3"/>
      <c r="D219" s="3"/>
      <c r="E219" s="3"/>
      <c r="F219" s="3"/>
      <c r="G219" s="3"/>
    </row>
    <row r="220" spans="1:7" ht="18" customHeight="1" x14ac:dyDescent="0.35">
      <c r="A220" s="3"/>
      <c r="B220" s="3"/>
      <c r="C220" s="3"/>
      <c r="D220" s="3"/>
      <c r="E220" s="3"/>
      <c r="F220" s="3"/>
      <c r="G220" s="3"/>
    </row>
    <row r="221" spans="1:7" ht="18" customHeight="1" x14ac:dyDescent="0.35">
      <c r="A221" s="3"/>
      <c r="B221" s="3"/>
      <c r="C221" s="3"/>
      <c r="D221" s="3"/>
      <c r="E221" s="3"/>
      <c r="F221" s="3"/>
      <c r="G221" s="3"/>
    </row>
    <row r="222" spans="1:7" ht="18" customHeight="1" x14ac:dyDescent="0.35">
      <c r="A222" s="3"/>
      <c r="B222" s="3"/>
      <c r="C222" s="3"/>
      <c r="D222" s="3"/>
      <c r="E222" s="3"/>
      <c r="F222" s="3"/>
      <c r="G222" s="3"/>
    </row>
    <row r="223" spans="1:7" ht="18" customHeight="1" x14ac:dyDescent="0.35">
      <c r="A223" s="3"/>
      <c r="B223" s="3"/>
      <c r="C223" s="3"/>
      <c r="D223" s="3"/>
      <c r="E223" s="3"/>
      <c r="F223" s="3"/>
      <c r="G223" s="3"/>
    </row>
    <row r="224" spans="1:7" ht="18" customHeight="1" x14ac:dyDescent="0.35">
      <c r="A224" s="3"/>
      <c r="B224" s="3"/>
      <c r="C224" s="3"/>
      <c r="D224" s="3"/>
      <c r="E224" s="3"/>
      <c r="F224" s="3"/>
      <c r="G224" s="3"/>
    </row>
    <row r="225" spans="1:7" ht="18" customHeight="1" x14ac:dyDescent="0.35">
      <c r="A225" s="3"/>
      <c r="B225" s="3"/>
      <c r="C225" s="3"/>
      <c r="D225" s="3"/>
      <c r="E225" s="3"/>
      <c r="F225" s="3"/>
      <c r="G225" s="3"/>
    </row>
    <row r="226" spans="1:7" ht="18" customHeight="1" x14ac:dyDescent="0.35">
      <c r="A226" s="3"/>
      <c r="B226" s="3"/>
      <c r="C226" s="3"/>
      <c r="D226" s="3"/>
      <c r="E226" s="3"/>
      <c r="F226" s="3"/>
      <c r="G226" s="3"/>
    </row>
    <row r="227" spans="1:7" ht="18" customHeight="1" x14ac:dyDescent="0.35">
      <c r="A227" s="3"/>
      <c r="B227" s="3"/>
      <c r="C227" s="3"/>
      <c r="D227" s="3"/>
      <c r="E227" s="3"/>
      <c r="F227" s="3"/>
      <c r="G227" s="3"/>
    </row>
    <row r="228" spans="1:7" ht="18" customHeight="1" x14ac:dyDescent="0.35">
      <c r="A228" s="3"/>
      <c r="B228" s="3"/>
      <c r="C228" s="3"/>
      <c r="D228" s="3"/>
      <c r="E228" s="3"/>
      <c r="F228" s="3"/>
      <c r="G228" s="3"/>
    </row>
    <row r="229" spans="1:7" ht="18" customHeight="1" x14ac:dyDescent="0.35">
      <c r="A229" s="3"/>
      <c r="B229" s="3"/>
      <c r="C229" s="3"/>
      <c r="D229" s="3"/>
      <c r="E229" s="3"/>
      <c r="F229" s="3"/>
      <c r="G229" s="3"/>
    </row>
    <row r="230" spans="1:7" ht="18" customHeight="1" x14ac:dyDescent="0.35">
      <c r="A230" s="3"/>
      <c r="B230" s="3"/>
      <c r="C230" s="3"/>
      <c r="D230" s="3"/>
      <c r="E230" s="3"/>
      <c r="F230" s="3"/>
      <c r="G230" s="3"/>
    </row>
    <row r="231" spans="1:7" ht="18" customHeight="1" x14ac:dyDescent="0.35">
      <c r="A231" s="3"/>
      <c r="B231" s="3"/>
      <c r="C231" s="3"/>
      <c r="D231" s="3"/>
      <c r="E231" s="3"/>
      <c r="F231" s="3"/>
      <c r="G231" s="3"/>
    </row>
    <row r="232" spans="1:7" ht="18" customHeight="1" x14ac:dyDescent="0.35">
      <c r="A232" s="3"/>
      <c r="B232" s="3"/>
      <c r="C232" s="3"/>
      <c r="D232" s="3"/>
      <c r="E232" s="3"/>
      <c r="F232" s="3"/>
      <c r="G232" s="3"/>
    </row>
    <row r="233" spans="1:7" ht="18" customHeight="1" x14ac:dyDescent="0.35">
      <c r="A233" s="3"/>
      <c r="B233" s="3"/>
      <c r="C233" s="3"/>
      <c r="D233" s="3"/>
      <c r="E233" s="3"/>
      <c r="F233" s="3"/>
      <c r="G233" s="3"/>
    </row>
    <row r="234" spans="1:7" ht="18" customHeight="1" x14ac:dyDescent="0.35">
      <c r="A234" s="3"/>
      <c r="B234" s="3"/>
      <c r="C234" s="3"/>
      <c r="D234" s="3"/>
      <c r="E234" s="3"/>
      <c r="F234" s="3"/>
      <c r="G234" s="3"/>
    </row>
    <row r="235" spans="1:7" ht="18" customHeight="1" x14ac:dyDescent="0.35">
      <c r="A235" s="3"/>
      <c r="B235" s="3"/>
      <c r="C235" s="3"/>
      <c r="D235" s="3"/>
      <c r="E235" s="3"/>
      <c r="F235" s="3"/>
      <c r="G235" s="3"/>
    </row>
    <row r="236" spans="1:7" ht="18" customHeight="1" x14ac:dyDescent="0.35">
      <c r="A236" s="3"/>
      <c r="B236" s="3"/>
      <c r="C236" s="3"/>
      <c r="D236" s="3"/>
      <c r="E236" s="3"/>
      <c r="F236" s="3"/>
      <c r="G236" s="3"/>
    </row>
    <row r="237" spans="1:7" ht="18" customHeight="1" x14ac:dyDescent="0.35">
      <c r="A237" s="3"/>
      <c r="B237" s="3"/>
      <c r="C237" s="3"/>
      <c r="D237" s="3"/>
      <c r="E237" s="3"/>
      <c r="F237" s="3"/>
      <c r="G237" s="3"/>
    </row>
    <row r="238" spans="1:7" ht="18" customHeight="1" x14ac:dyDescent="0.35">
      <c r="A238" s="3"/>
      <c r="B238" s="3"/>
      <c r="C238" s="3"/>
      <c r="D238" s="3"/>
      <c r="E238" s="3"/>
      <c r="F238" s="3"/>
      <c r="G238" s="3"/>
    </row>
    <row r="239" spans="1:7" ht="18" customHeight="1" x14ac:dyDescent="0.35">
      <c r="A239" s="3"/>
      <c r="B239" s="3"/>
      <c r="C239" s="3"/>
      <c r="D239" s="3"/>
      <c r="E239" s="3"/>
      <c r="F239" s="3"/>
      <c r="G239" s="3"/>
    </row>
    <row r="240" spans="1:7" ht="18" customHeight="1" x14ac:dyDescent="0.35">
      <c r="A240" s="3"/>
      <c r="B240" s="3"/>
      <c r="C240" s="3"/>
      <c r="D240" s="3"/>
      <c r="E240" s="3"/>
      <c r="F240" s="3"/>
      <c r="G240" s="3"/>
    </row>
    <row r="241" spans="1:7" ht="18" customHeight="1" x14ac:dyDescent="0.35">
      <c r="A241" s="3"/>
      <c r="B241" s="3"/>
      <c r="C241" s="3"/>
      <c r="D241" s="3"/>
      <c r="E241" s="3"/>
      <c r="F241" s="3"/>
      <c r="G241" s="3"/>
    </row>
    <row r="242" spans="1:7" ht="18" customHeight="1" x14ac:dyDescent="0.35">
      <c r="A242" s="3"/>
      <c r="B242" s="3"/>
      <c r="C242" s="3"/>
      <c r="D242" s="3"/>
      <c r="E242" s="3"/>
      <c r="F242" s="3"/>
      <c r="G242" s="3"/>
    </row>
    <row r="243" spans="1:7" ht="18" customHeight="1" x14ac:dyDescent="0.35">
      <c r="A243" s="3"/>
      <c r="B243" s="3"/>
      <c r="C243" s="3"/>
      <c r="D243" s="3"/>
      <c r="E243" s="3"/>
      <c r="F243" s="3"/>
      <c r="G243" s="3"/>
    </row>
    <row r="244" spans="1:7" ht="18" customHeight="1" x14ac:dyDescent="0.35">
      <c r="A244" s="3"/>
      <c r="B244" s="3"/>
      <c r="C244" s="3"/>
      <c r="D244" s="3"/>
      <c r="E244" s="3"/>
      <c r="F244" s="3"/>
      <c r="G244" s="3"/>
    </row>
    <row r="245" spans="1:7" ht="18" customHeight="1" x14ac:dyDescent="0.35">
      <c r="A245" s="3"/>
      <c r="B245" s="3"/>
      <c r="C245" s="3"/>
      <c r="D245" s="3"/>
      <c r="E245" s="3"/>
      <c r="F245" s="3"/>
      <c r="G245" s="3"/>
    </row>
    <row r="246" spans="1:7" ht="18" customHeight="1" x14ac:dyDescent="0.35">
      <c r="A246" s="3"/>
      <c r="B246" s="3"/>
      <c r="C246" s="3"/>
      <c r="D246" s="3"/>
      <c r="E246" s="3"/>
      <c r="F246" s="3"/>
      <c r="G246" s="3"/>
    </row>
    <row r="247" spans="1:7" ht="18" customHeight="1" x14ac:dyDescent="0.35">
      <c r="A247" s="3"/>
      <c r="B247" s="3"/>
      <c r="C247" s="3"/>
      <c r="D247" s="3"/>
      <c r="E247" s="3"/>
      <c r="F247" s="3"/>
      <c r="G247" s="3"/>
    </row>
    <row r="248" spans="1:7" ht="18" customHeight="1" x14ac:dyDescent="0.35">
      <c r="A248" s="3"/>
      <c r="B248" s="3"/>
      <c r="C248" s="3"/>
      <c r="D248" s="3"/>
      <c r="E248" s="3"/>
      <c r="F248" s="3"/>
      <c r="G248" s="3"/>
    </row>
    <row r="249" spans="1:7" ht="18" customHeight="1" x14ac:dyDescent="0.35">
      <c r="A249" s="3"/>
      <c r="B249" s="3"/>
      <c r="C249" s="3"/>
      <c r="D249" s="3"/>
      <c r="E249" s="3"/>
      <c r="F249" s="3"/>
      <c r="G249" s="3"/>
    </row>
    <row r="250" spans="1:7" ht="18" customHeight="1" x14ac:dyDescent="0.35">
      <c r="A250" s="3"/>
      <c r="B250" s="3"/>
      <c r="C250" s="3"/>
      <c r="D250" s="3"/>
      <c r="E250" s="3"/>
      <c r="F250" s="3"/>
      <c r="G250" s="3"/>
    </row>
    <row r="251" spans="1:7" ht="18" customHeight="1" x14ac:dyDescent="0.35">
      <c r="A251" s="3"/>
      <c r="B251" s="3"/>
      <c r="C251" s="3"/>
      <c r="D251" s="3"/>
      <c r="E251" s="3"/>
      <c r="F251" s="3"/>
      <c r="G251" s="3"/>
    </row>
    <row r="252" spans="1:7" ht="18" customHeight="1" x14ac:dyDescent="0.35">
      <c r="A252" s="3"/>
      <c r="B252" s="3"/>
      <c r="C252" s="3"/>
      <c r="D252" s="3"/>
      <c r="E252" s="3"/>
      <c r="F252" s="3"/>
      <c r="G252" s="3"/>
    </row>
    <row r="253" spans="1:7" ht="18" customHeight="1" x14ac:dyDescent="0.35">
      <c r="A253" s="3"/>
      <c r="B253" s="3"/>
      <c r="C253" s="3"/>
      <c r="D253" s="3"/>
      <c r="E253" s="3"/>
      <c r="F253" s="3"/>
      <c r="G253" s="3"/>
    </row>
    <row r="254" spans="1:7" ht="18" customHeight="1" x14ac:dyDescent="0.35">
      <c r="A254" s="3"/>
      <c r="B254" s="3"/>
      <c r="C254" s="3"/>
      <c r="D254" s="3"/>
      <c r="E254" s="3"/>
      <c r="F254" s="3"/>
      <c r="G254" s="3"/>
    </row>
    <row r="255" spans="1:7" ht="18" customHeight="1" x14ac:dyDescent="0.35">
      <c r="A255" s="3"/>
      <c r="B255" s="3"/>
      <c r="C255" s="3"/>
      <c r="D255" s="3"/>
      <c r="E255" s="3"/>
      <c r="F255" s="3"/>
      <c r="G255" s="3"/>
    </row>
    <row r="256" spans="1:7" ht="18" customHeight="1" x14ac:dyDescent="0.35">
      <c r="A256" s="3"/>
      <c r="B256" s="3"/>
      <c r="C256" s="3"/>
      <c r="D256" s="3"/>
      <c r="E256" s="3"/>
      <c r="F256" s="3"/>
      <c r="G256" s="3"/>
    </row>
    <row r="257" spans="1:7" ht="18" customHeight="1" x14ac:dyDescent="0.35">
      <c r="A257" s="3"/>
      <c r="B257" s="3"/>
      <c r="C257" s="3"/>
      <c r="D257" s="3"/>
      <c r="E257" s="3"/>
      <c r="F257" s="3"/>
      <c r="G257" s="3"/>
    </row>
    <row r="258" spans="1:7" ht="18" customHeight="1" x14ac:dyDescent="0.35">
      <c r="A258" s="3"/>
      <c r="B258" s="3"/>
      <c r="C258" s="3"/>
      <c r="D258" s="3"/>
      <c r="E258" s="3"/>
      <c r="F258" s="3"/>
      <c r="G258" s="3"/>
    </row>
    <row r="259" spans="1:7" ht="18" customHeight="1" x14ac:dyDescent="0.35">
      <c r="A259" s="3"/>
      <c r="B259" s="3"/>
      <c r="C259" s="3"/>
      <c r="D259" s="3"/>
      <c r="E259" s="3"/>
      <c r="F259" s="3"/>
      <c r="G259" s="3"/>
    </row>
    <row r="260" spans="1:7" ht="18" customHeight="1" x14ac:dyDescent="0.35">
      <c r="A260" s="3"/>
      <c r="B260" s="3"/>
      <c r="C260" s="3"/>
      <c r="D260" s="3"/>
      <c r="E260" s="3"/>
      <c r="F260" s="3"/>
      <c r="G260" s="3"/>
    </row>
    <row r="261" spans="1:7" ht="18" customHeight="1" x14ac:dyDescent="0.35">
      <c r="A261" s="3"/>
      <c r="B261" s="3"/>
      <c r="C261" s="3"/>
      <c r="D261" s="3"/>
      <c r="E261" s="3"/>
      <c r="F261" s="3"/>
      <c r="G261" s="3"/>
    </row>
    <row r="262" spans="1:7" ht="18" customHeight="1" x14ac:dyDescent="0.35">
      <c r="A262" s="3"/>
      <c r="B262" s="3"/>
      <c r="C262" s="3"/>
      <c r="D262" s="3"/>
      <c r="E262" s="3"/>
      <c r="F262" s="3"/>
      <c r="G262" s="3"/>
    </row>
    <row r="263" spans="1:7" ht="18" customHeight="1" x14ac:dyDescent="0.35">
      <c r="A263" s="3"/>
      <c r="B263" s="3"/>
      <c r="C263" s="3"/>
      <c r="D263" s="3"/>
      <c r="E263" s="3"/>
      <c r="F263" s="3"/>
      <c r="G263" s="3"/>
    </row>
    <row r="264" spans="1:7" ht="18" customHeight="1" x14ac:dyDescent="0.35">
      <c r="A264" s="3"/>
      <c r="B264" s="3"/>
      <c r="C264" s="3"/>
      <c r="D264" s="3"/>
      <c r="E264" s="3"/>
      <c r="F264" s="3"/>
      <c r="G264" s="3"/>
    </row>
    <row r="265" spans="1:7" ht="18" customHeight="1" x14ac:dyDescent="0.35">
      <c r="A265" s="3"/>
      <c r="B265" s="3"/>
      <c r="C265" s="3"/>
      <c r="D265" s="3"/>
      <c r="E265" s="3"/>
      <c r="F265" s="3"/>
      <c r="G265" s="3"/>
    </row>
    <row r="266" spans="1:7" ht="18" customHeight="1" x14ac:dyDescent="0.35">
      <c r="A266" s="3"/>
      <c r="B266" s="3"/>
      <c r="C266" s="3"/>
      <c r="D266" s="3"/>
      <c r="E266" s="3"/>
      <c r="F266" s="3"/>
      <c r="G266" s="3"/>
    </row>
    <row r="267" spans="1:7" ht="18" customHeight="1" x14ac:dyDescent="0.35">
      <c r="A267" s="3"/>
      <c r="B267" s="3"/>
      <c r="C267" s="3"/>
      <c r="D267" s="3"/>
      <c r="E267" s="3"/>
      <c r="F267" s="3"/>
      <c r="G267" s="3"/>
    </row>
    <row r="268" spans="1:7" ht="18" customHeight="1" x14ac:dyDescent="0.35">
      <c r="A268" s="3"/>
      <c r="B268" s="3"/>
      <c r="C268" s="3"/>
      <c r="D268" s="3"/>
      <c r="E268" s="3"/>
      <c r="F268" s="3"/>
      <c r="G268" s="3"/>
    </row>
    <row r="269" spans="1:7" ht="18" customHeight="1" x14ac:dyDescent="0.35">
      <c r="A269" s="3"/>
      <c r="B269" s="3"/>
      <c r="C269" s="3"/>
      <c r="D269" s="3"/>
      <c r="E269" s="3"/>
      <c r="F269" s="3"/>
      <c r="G269" s="3"/>
    </row>
    <row r="270" spans="1:7" ht="18" customHeight="1" x14ac:dyDescent="0.35">
      <c r="A270" s="3"/>
      <c r="B270" s="3"/>
      <c r="C270" s="3"/>
      <c r="D270" s="3"/>
      <c r="E270" s="3"/>
      <c r="F270" s="3"/>
      <c r="G270" s="3"/>
    </row>
    <row r="271" spans="1:7" ht="18" customHeight="1" x14ac:dyDescent="0.35">
      <c r="A271" s="3"/>
      <c r="B271" s="3"/>
      <c r="C271" s="3"/>
      <c r="D271" s="3"/>
      <c r="E271" s="3"/>
      <c r="F271" s="3"/>
      <c r="G271" s="3"/>
    </row>
    <row r="272" spans="1:7" ht="18" customHeight="1" x14ac:dyDescent="0.35">
      <c r="A272" s="3"/>
      <c r="B272" s="3"/>
      <c r="C272" s="3"/>
      <c r="D272" s="3"/>
      <c r="E272" s="3"/>
      <c r="F272" s="3"/>
      <c r="G272" s="3"/>
    </row>
    <row r="273" spans="1:7" ht="18" customHeight="1" x14ac:dyDescent="0.35">
      <c r="A273" s="3"/>
      <c r="B273" s="3"/>
      <c r="C273" s="3"/>
      <c r="D273" s="3"/>
      <c r="E273" s="3"/>
      <c r="F273" s="3"/>
      <c r="G273" s="3"/>
    </row>
    <row r="274" spans="1:7" ht="18" customHeight="1" x14ac:dyDescent="0.35">
      <c r="A274" s="3"/>
      <c r="B274" s="3"/>
      <c r="C274" s="3"/>
      <c r="D274" s="3"/>
      <c r="E274" s="3"/>
      <c r="F274" s="3"/>
      <c r="G274" s="3"/>
    </row>
    <row r="275" spans="1:7" ht="18" customHeight="1" x14ac:dyDescent="0.35">
      <c r="A275" s="3"/>
      <c r="B275" s="3"/>
      <c r="C275" s="3"/>
      <c r="D275" s="3"/>
      <c r="E275" s="3"/>
      <c r="F275" s="3"/>
      <c r="G275" s="3"/>
    </row>
    <row r="276" spans="1:7" ht="18" customHeight="1" x14ac:dyDescent="0.35">
      <c r="A276" s="3"/>
      <c r="B276" s="3"/>
      <c r="C276" s="3"/>
      <c r="D276" s="3"/>
      <c r="E276" s="3"/>
      <c r="F276" s="3"/>
      <c r="G276" s="3"/>
    </row>
    <row r="277" spans="1:7" ht="18" customHeight="1" x14ac:dyDescent="0.35">
      <c r="A277" s="3"/>
      <c r="B277" s="3"/>
      <c r="C277" s="3"/>
      <c r="D277" s="3"/>
      <c r="E277" s="3"/>
      <c r="F277" s="3"/>
      <c r="G277" s="3"/>
    </row>
    <row r="278" spans="1:7" ht="18" customHeight="1" x14ac:dyDescent="0.35">
      <c r="A278" s="3"/>
      <c r="B278" s="3"/>
      <c r="C278" s="3"/>
      <c r="D278" s="3"/>
      <c r="E278" s="3"/>
      <c r="F278" s="3"/>
      <c r="G278" s="3"/>
    </row>
    <row r="279" spans="1:7" ht="18" customHeight="1" x14ac:dyDescent="0.35">
      <c r="A279" s="3"/>
      <c r="B279" s="3"/>
      <c r="C279" s="3"/>
      <c r="D279" s="3"/>
      <c r="E279" s="3"/>
      <c r="F279" s="3"/>
      <c r="G279" s="3"/>
    </row>
    <row r="280" spans="1:7" ht="18" customHeight="1" x14ac:dyDescent="0.35">
      <c r="A280" s="3"/>
      <c r="B280" s="3"/>
      <c r="C280" s="3"/>
      <c r="D280" s="3"/>
      <c r="E280" s="3"/>
      <c r="F280" s="3"/>
      <c r="G280" s="3"/>
    </row>
    <row r="281" spans="1:7" ht="18" customHeight="1" x14ac:dyDescent="0.35">
      <c r="A281" s="3"/>
      <c r="B281" s="3"/>
      <c r="C281" s="3"/>
      <c r="D281" s="3"/>
      <c r="E281" s="3"/>
      <c r="F281" s="3"/>
      <c r="G281" s="3"/>
    </row>
    <row r="282" spans="1:7" ht="18" customHeight="1" x14ac:dyDescent="0.35">
      <c r="A282" s="3"/>
      <c r="B282" s="3"/>
      <c r="C282" s="3"/>
      <c r="D282" s="3"/>
      <c r="E282" s="3"/>
      <c r="F282" s="3"/>
      <c r="G282" s="3"/>
    </row>
    <row r="283" spans="1:7" ht="18" customHeight="1" x14ac:dyDescent="0.35">
      <c r="A283" s="3"/>
      <c r="B283" s="3"/>
      <c r="C283" s="3"/>
      <c r="D283" s="3"/>
      <c r="E283" s="3"/>
      <c r="F283" s="3"/>
      <c r="G283" s="3"/>
    </row>
    <row r="284" spans="1:7" ht="18" customHeight="1" x14ac:dyDescent="0.35">
      <c r="A284" s="3"/>
      <c r="B284" s="3"/>
      <c r="C284" s="3"/>
      <c r="D284" s="3"/>
      <c r="E284" s="3"/>
      <c r="F284" s="3"/>
      <c r="G284" s="3"/>
    </row>
    <row r="285" spans="1:7" ht="18" customHeight="1" x14ac:dyDescent="0.35">
      <c r="A285" s="3"/>
      <c r="B285" s="3"/>
      <c r="C285" s="3"/>
      <c r="D285" s="3"/>
      <c r="E285" s="3"/>
      <c r="F285" s="3"/>
      <c r="G285" s="3"/>
    </row>
    <row r="286" spans="1:7" ht="18" customHeight="1" x14ac:dyDescent="0.35">
      <c r="A286" s="3"/>
      <c r="B286" s="3"/>
      <c r="C286" s="3"/>
      <c r="D286" s="3"/>
      <c r="E286" s="3"/>
      <c r="F286" s="3"/>
      <c r="G286" s="3"/>
    </row>
    <row r="287" spans="1:7" ht="18" customHeight="1" x14ac:dyDescent="0.35">
      <c r="A287" s="3"/>
      <c r="B287" s="3"/>
      <c r="C287" s="3"/>
      <c r="D287" s="3"/>
      <c r="E287" s="3"/>
      <c r="F287" s="3"/>
      <c r="G287" s="3"/>
    </row>
    <row r="288" spans="1:7" ht="18" customHeight="1" x14ac:dyDescent="0.35">
      <c r="A288" s="3"/>
      <c r="B288" s="3"/>
      <c r="C288" s="3"/>
      <c r="D288" s="3"/>
      <c r="E288" s="3"/>
      <c r="F288" s="3"/>
      <c r="G288" s="3"/>
    </row>
    <row r="289" spans="1:7" ht="18" customHeight="1" x14ac:dyDescent="0.35">
      <c r="A289" s="3"/>
      <c r="B289" s="3"/>
      <c r="C289" s="3"/>
      <c r="D289" s="3"/>
      <c r="E289" s="3"/>
      <c r="F289" s="3"/>
      <c r="G289" s="3"/>
    </row>
    <row r="290" spans="1:7" ht="18" customHeight="1" x14ac:dyDescent="0.35">
      <c r="A290" s="3"/>
      <c r="B290" s="3"/>
      <c r="C290" s="3"/>
      <c r="D290" s="3"/>
      <c r="E290" s="3"/>
      <c r="F290" s="3"/>
      <c r="G290" s="3"/>
    </row>
    <row r="291" spans="1:7" ht="18" customHeight="1" x14ac:dyDescent="0.35">
      <c r="A291" s="3"/>
      <c r="B291" s="3"/>
      <c r="C291" s="3"/>
      <c r="D291" s="3"/>
      <c r="E291" s="3"/>
      <c r="F291" s="3"/>
      <c r="G291" s="3"/>
    </row>
    <row r="292" spans="1:7" ht="18" customHeight="1" x14ac:dyDescent="0.35">
      <c r="A292" s="3"/>
      <c r="B292" s="3"/>
      <c r="C292" s="3"/>
      <c r="D292" s="3"/>
      <c r="E292" s="3"/>
      <c r="F292" s="3"/>
      <c r="G292" s="3"/>
    </row>
    <row r="293" spans="1:7" ht="18" customHeight="1" x14ac:dyDescent="0.35">
      <c r="A293" s="3"/>
      <c r="B293" s="3"/>
      <c r="C293" s="3"/>
      <c r="D293" s="3"/>
      <c r="E293" s="3"/>
      <c r="F293" s="3"/>
      <c r="G293" s="3"/>
    </row>
    <row r="294" spans="1:7" ht="18" customHeight="1" x14ac:dyDescent="0.35">
      <c r="A294" s="3"/>
      <c r="B294" s="3"/>
      <c r="C294" s="3"/>
      <c r="D294" s="3"/>
      <c r="E294" s="3"/>
      <c r="F294" s="3"/>
      <c r="G294" s="3"/>
    </row>
    <row r="295" spans="1:7" ht="18" customHeight="1" x14ac:dyDescent="0.35">
      <c r="A295" s="3"/>
      <c r="B295" s="3"/>
      <c r="C295" s="3"/>
      <c r="D295" s="3"/>
      <c r="E295" s="3"/>
      <c r="F295" s="3"/>
      <c r="G295" s="3"/>
    </row>
    <row r="296" spans="1:7" ht="18" customHeight="1" x14ac:dyDescent="0.35">
      <c r="A296" s="3"/>
      <c r="B296" s="3"/>
      <c r="C296" s="3"/>
      <c r="D296" s="3"/>
      <c r="E296" s="3"/>
      <c r="F296" s="3"/>
      <c r="G296" s="3"/>
    </row>
    <row r="297" spans="1:7" ht="18" customHeight="1" x14ac:dyDescent="0.35">
      <c r="A297" s="3"/>
      <c r="B297" s="3"/>
      <c r="C297" s="3"/>
      <c r="D297" s="3"/>
      <c r="E297" s="3"/>
      <c r="F297" s="3"/>
      <c r="G297" s="3"/>
    </row>
    <row r="298" spans="1:7" ht="18" customHeight="1" x14ac:dyDescent="0.35">
      <c r="A298" s="3"/>
      <c r="B298" s="3"/>
      <c r="C298" s="3"/>
      <c r="D298" s="3"/>
      <c r="E298" s="3"/>
      <c r="F298" s="3"/>
      <c r="G298" s="3"/>
    </row>
    <row r="299" spans="1:7" ht="18" customHeight="1" x14ac:dyDescent="0.35">
      <c r="A299" s="3"/>
      <c r="B299" s="3"/>
      <c r="C299" s="3"/>
      <c r="D299" s="3"/>
      <c r="E299" s="3"/>
      <c r="F299" s="3"/>
      <c r="G299" s="3"/>
    </row>
    <row r="300" spans="1:7" ht="18" customHeight="1" x14ac:dyDescent="0.35">
      <c r="A300" s="3"/>
      <c r="B300" s="3"/>
      <c r="C300" s="3"/>
      <c r="D300" s="3"/>
      <c r="E300" s="3"/>
      <c r="F300" s="3"/>
      <c r="G300" s="3"/>
    </row>
    <row r="301" spans="1:7" ht="18" customHeight="1" x14ac:dyDescent="0.35">
      <c r="A301" s="3"/>
      <c r="B301" s="3"/>
      <c r="C301" s="3"/>
      <c r="D301" s="3"/>
      <c r="E301" s="3"/>
      <c r="F301" s="3"/>
      <c r="G301" s="3"/>
    </row>
    <row r="302" spans="1:7" ht="18" customHeight="1" x14ac:dyDescent="0.35">
      <c r="A302" s="3"/>
      <c r="B302" s="3"/>
      <c r="C302" s="3"/>
      <c r="D302" s="3"/>
      <c r="E302" s="3"/>
      <c r="F302" s="3"/>
      <c r="G302" s="3"/>
    </row>
    <row r="303" spans="1:7" ht="18" customHeight="1" x14ac:dyDescent="0.35">
      <c r="A303" s="3"/>
      <c r="B303" s="3"/>
      <c r="C303" s="3"/>
      <c r="D303" s="3"/>
      <c r="E303" s="3"/>
      <c r="F303" s="3"/>
      <c r="G303" s="3"/>
    </row>
    <row r="304" spans="1:7" ht="18" customHeight="1" x14ac:dyDescent="0.35">
      <c r="A304" s="3"/>
      <c r="B304" s="3"/>
      <c r="C304" s="3"/>
      <c r="D304" s="3"/>
      <c r="E304" s="3"/>
      <c r="F304" s="3"/>
      <c r="G304" s="3"/>
    </row>
    <row r="305" spans="1:7" ht="18" customHeight="1" x14ac:dyDescent="0.35">
      <c r="A305" s="3"/>
      <c r="B305" s="3"/>
      <c r="C305" s="3"/>
      <c r="D305" s="3"/>
      <c r="E305" s="3"/>
      <c r="F305" s="3"/>
      <c r="G305" s="3"/>
    </row>
    <row r="306" spans="1:7" ht="18" customHeight="1" x14ac:dyDescent="0.35">
      <c r="A306" s="3"/>
      <c r="B306" s="3"/>
      <c r="C306" s="3"/>
      <c r="D306" s="3"/>
      <c r="E306" s="3"/>
      <c r="F306" s="3"/>
      <c r="G306" s="3"/>
    </row>
    <row r="307" spans="1:7" ht="18" customHeight="1" x14ac:dyDescent="0.35">
      <c r="A307" s="3"/>
      <c r="B307" s="3"/>
      <c r="C307" s="3"/>
      <c r="D307" s="3"/>
      <c r="E307" s="3"/>
      <c r="F307" s="3"/>
      <c r="G307" s="3"/>
    </row>
    <row r="308" spans="1:7" ht="18" customHeight="1" x14ac:dyDescent="0.35">
      <c r="A308" s="3"/>
      <c r="B308" s="3"/>
      <c r="C308" s="3"/>
      <c r="D308" s="3"/>
      <c r="E308" s="3"/>
      <c r="F308" s="3"/>
      <c r="G308" s="3"/>
    </row>
    <row r="309" spans="1:7" ht="18" customHeight="1" x14ac:dyDescent="0.35">
      <c r="A309" s="3"/>
      <c r="B309" s="3"/>
      <c r="C309" s="3"/>
      <c r="D309" s="3"/>
      <c r="E309" s="3"/>
      <c r="F309" s="3"/>
      <c r="G309" s="3"/>
    </row>
    <row r="310" spans="1:7" ht="18" customHeight="1" x14ac:dyDescent="0.35">
      <c r="A310" s="3"/>
      <c r="B310" s="3"/>
      <c r="C310" s="3"/>
      <c r="D310" s="3"/>
      <c r="E310" s="3"/>
      <c r="F310" s="3"/>
      <c r="G310" s="3"/>
    </row>
    <row r="311" spans="1:7" ht="18" customHeight="1" x14ac:dyDescent="0.35">
      <c r="A311" s="3"/>
      <c r="B311" s="3"/>
      <c r="C311" s="3"/>
      <c r="D311" s="3"/>
      <c r="E311" s="3"/>
      <c r="F311" s="3"/>
      <c r="G311" s="3"/>
    </row>
    <row r="312" spans="1:7" ht="18" customHeight="1" x14ac:dyDescent="0.35">
      <c r="A312" s="3"/>
      <c r="B312" s="3"/>
      <c r="C312" s="3"/>
      <c r="D312" s="3"/>
      <c r="E312" s="3"/>
      <c r="F312" s="3"/>
      <c r="G312" s="3"/>
    </row>
    <row r="313" spans="1:7" ht="18" customHeight="1" x14ac:dyDescent="0.35">
      <c r="A313" s="3"/>
      <c r="B313" s="3"/>
      <c r="C313" s="3"/>
      <c r="D313" s="3"/>
      <c r="E313" s="3"/>
      <c r="F313" s="3"/>
      <c r="G313" s="3"/>
    </row>
    <row r="314" spans="1:7" ht="18" customHeight="1" x14ac:dyDescent="0.35">
      <c r="A314" s="3"/>
      <c r="B314" s="3"/>
      <c r="C314" s="3"/>
      <c r="D314" s="3"/>
      <c r="E314" s="3"/>
      <c r="F314" s="3"/>
      <c r="G314" s="3"/>
    </row>
    <row r="315" spans="1:7" ht="18" customHeight="1" x14ac:dyDescent="0.35">
      <c r="A315" s="3"/>
      <c r="B315" s="3"/>
      <c r="C315" s="3"/>
      <c r="D315" s="3"/>
      <c r="E315" s="3"/>
      <c r="F315" s="3"/>
      <c r="G315" s="3"/>
    </row>
    <row r="316" spans="1:7" ht="18" customHeight="1" x14ac:dyDescent="0.35">
      <c r="A316" s="3"/>
      <c r="B316" s="3"/>
      <c r="C316" s="3"/>
      <c r="D316" s="3"/>
      <c r="E316" s="3"/>
      <c r="F316" s="3"/>
      <c r="G316" s="3"/>
    </row>
    <row r="317" spans="1:7" ht="18" customHeight="1" x14ac:dyDescent="0.35">
      <c r="A317" s="3"/>
      <c r="B317" s="3"/>
      <c r="C317" s="3"/>
      <c r="D317" s="3"/>
      <c r="E317" s="3"/>
      <c r="F317" s="3"/>
      <c r="G317" s="3"/>
    </row>
    <row r="318" spans="1:7" ht="18" customHeight="1" x14ac:dyDescent="0.35">
      <c r="A318" s="3"/>
      <c r="B318" s="3"/>
      <c r="C318" s="3"/>
      <c r="D318" s="3"/>
      <c r="E318" s="3"/>
      <c r="F318" s="3"/>
      <c r="G318" s="3"/>
    </row>
    <row r="319" spans="1:7" ht="18" customHeight="1" x14ac:dyDescent="0.35">
      <c r="A319" s="3"/>
      <c r="B319" s="3"/>
      <c r="C319" s="3"/>
      <c r="D319" s="3"/>
      <c r="E319" s="3"/>
      <c r="F319" s="3"/>
      <c r="G319" s="3"/>
    </row>
    <row r="320" spans="1:7" ht="18" customHeight="1" x14ac:dyDescent="0.35">
      <c r="A320" s="3"/>
      <c r="B320" s="3"/>
      <c r="C320" s="3"/>
      <c r="D320" s="3"/>
      <c r="E320" s="3"/>
      <c r="F320" s="3"/>
      <c r="G320" s="3"/>
    </row>
    <row r="321" spans="1:7" ht="18" customHeight="1" x14ac:dyDescent="0.35">
      <c r="A321" s="3"/>
      <c r="B321" s="3"/>
      <c r="C321" s="3"/>
      <c r="D321" s="3"/>
      <c r="E321" s="3"/>
      <c r="F321" s="3"/>
      <c r="G321" s="3"/>
    </row>
    <row r="322" spans="1:7" ht="18" customHeight="1" x14ac:dyDescent="0.35">
      <c r="A322" s="3"/>
      <c r="B322" s="3"/>
      <c r="C322" s="3"/>
      <c r="D322" s="3"/>
      <c r="E322" s="3"/>
      <c r="F322" s="3"/>
      <c r="G322" s="3"/>
    </row>
    <row r="323" spans="1:7" ht="18" customHeight="1" x14ac:dyDescent="0.35">
      <c r="A323" s="3"/>
      <c r="B323" s="3"/>
      <c r="C323" s="3"/>
      <c r="D323" s="3"/>
      <c r="E323" s="3"/>
      <c r="F323" s="3"/>
      <c r="G323" s="3"/>
    </row>
    <row r="324" spans="1:7" ht="18" customHeight="1" x14ac:dyDescent="0.35">
      <c r="A324" s="3"/>
      <c r="B324" s="3"/>
      <c r="C324" s="3"/>
      <c r="D324" s="3"/>
      <c r="E324" s="3"/>
      <c r="F324" s="3"/>
      <c r="G324" s="3"/>
    </row>
    <row r="325" spans="1:7" ht="18" customHeight="1" x14ac:dyDescent="0.35">
      <c r="A325" s="3"/>
      <c r="B325" s="3"/>
      <c r="C325" s="3"/>
      <c r="D325" s="3"/>
      <c r="E325" s="3"/>
      <c r="F325" s="3"/>
      <c r="G325" s="3"/>
    </row>
    <row r="326" spans="1:7" ht="18" customHeight="1" x14ac:dyDescent="0.35">
      <c r="A326" s="3"/>
      <c r="B326" s="3"/>
      <c r="C326" s="3"/>
      <c r="D326" s="3"/>
      <c r="E326" s="3"/>
      <c r="F326" s="3"/>
      <c r="G326" s="3"/>
    </row>
    <row r="327" spans="1:7" ht="18" customHeight="1" x14ac:dyDescent="0.35">
      <c r="A327" s="3"/>
      <c r="B327" s="3"/>
      <c r="C327" s="3"/>
      <c r="D327" s="3"/>
      <c r="E327" s="3"/>
      <c r="F327" s="3"/>
      <c r="G327" s="3"/>
    </row>
    <row r="328" spans="1:7" ht="18" customHeight="1" x14ac:dyDescent="0.35">
      <c r="A328" s="3"/>
      <c r="B328" s="3"/>
      <c r="C328" s="3"/>
      <c r="D328" s="3"/>
      <c r="E328" s="3"/>
      <c r="F328" s="3"/>
      <c r="G328" s="3"/>
    </row>
    <row r="329" spans="1:7" ht="18" customHeight="1" x14ac:dyDescent="0.35">
      <c r="A329" s="3"/>
      <c r="B329" s="3"/>
      <c r="C329" s="3"/>
      <c r="D329" s="3"/>
      <c r="E329" s="3"/>
      <c r="F329" s="3"/>
      <c r="G329" s="3"/>
    </row>
    <row r="330" spans="1:7" ht="18" customHeight="1" x14ac:dyDescent="0.35">
      <c r="A330" s="3"/>
      <c r="B330" s="3"/>
      <c r="C330" s="3"/>
      <c r="D330" s="3"/>
      <c r="E330" s="3"/>
      <c r="F330" s="3"/>
      <c r="G330" s="3"/>
    </row>
    <row r="331" spans="1:7" ht="18" customHeight="1" x14ac:dyDescent="0.35">
      <c r="A331" s="3"/>
      <c r="B331" s="3"/>
      <c r="C331" s="3"/>
      <c r="D331" s="3"/>
      <c r="E331" s="3"/>
      <c r="F331" s="3"/>
      <c r="G331" s="3"/>
    </row>
    <row r="332" spans="1:7" ht="18" customHeight="1" x14ac:dyDescent="0.35">
      <c r="A332" s="3"/>
      <c r="B332" s="3"/>
      <c r="C332" s="3"/>
      <c r="D332" s="3"/>
      <c r="E332" s="3"/>
      <c r="F332" s="3"/>
      <c r="G332" s="3"/>
    </row>
    <row r="333" spans="1:7" ht="18" customHeight="1" x14ac:dyDescent="0.35">
      <c r="A333" s="3"/>
      <c r="B333" s="3"/>
      <c r="C333" s="3"/>
      <c r="D333" s="3"/>
      <c r="E333" s="3"/>
      <c r="F333" s="3"/>
      <c r="G333" s="3"/>
    </row>
    <row r="334" spans="1:7" ht="18" customHeight="1" x14ac:dyDescent="0.35">
      <c r="A334" s="3"/>
      <c r="B334" s="3"/>
      <c r="C334" s="3"/>
      <c r="D334" s="3"/>
      <c r="E334" s="3"/>
      <c r="F334" s="3"/>
      <c r="G334" s="3"/>
    </row>
    <row r="335" spans="1:7" ht="18" customHeight="1" x14ac:dyDescent="0.35">
      <c r="A335" s="3"/>
      <c r="B335" s="3"/>
      <c r="C335" s="3"/>
      <c r="D335" s="3"/>
      <c r="E335" s="3"/>
      <c r="F335" s="3"/>
      <c r="G335" s="3"/>
    </row>
    <row r="336" spans="1:7" ht="18" customHeight="1" x14ac:dyDescent="0.35">
      <c r="A336" s="3"/>
      <c r="B336" s="3"/>
      <c r="C336" s="3"/>
      <c r="D336" s="3"/>
      <c r="E336" s="3"/>
      <c r="F336" s="3"/>
      <c r="G336" s="3"/>
    </row>
    <row r="337" spans="1:7" ht="18" customHeight="1" x14ac:dyDescent="0.35">
      <c r="A337" s="3"/>
      <c r="B337" s="3"/>
      <c r="C337" s="3"/>
      <c r="D337" s="3"/>
      <c r="E337" s="3"/>
      <c r="F337" s="3"/>
      <c r="G337" s="3"/>
    </row>
    <row r="338" spans="1:7" ht="18" customHeight="1" x14ac:dyDescent="0.35">
      <c r="A338" s="3"/>
      <c r="B338" s="3"/>
      <c r="C338" s="3"/>
      <c r="D338" s="3"/>
      <c r="E338" s="3"/>
      <c r="F338" s="3"/>
      <c r="G338" s="3"/>
    </row>
    <row r="339" spans="1:7" ht="18" customHeight="1" x14ac:dyDescent="0.35">
      <c r="A339" s="3"/>
      <c r="B339" s="3"/>
      <c r="C339" s="3"/>
      <c r="D339" s="3"/>
      <c r="E339" s="3"/>
      <c r="F339" s="3"/>
      <c r="G339" s="3"/>
    </row>
    <row r="340" spans="1:7" ht="18" customHeight="1" x14ac:dyDescent="0.35">
      <c r="A340" s="3"/>
      <c r="B340" s="3"/>
      <c r="C340" s="3"/>
      <c r="D340" s="3"/>
      <c r="E340" s="3"/>
      <c r="F340" s="3"/>
      <c r="G340" s="3"/>
    </row>
    <row r="341" spans="1:7" ht="18" customHeight="1" x14ac:dyDescent="0.35">
      <c r="A341" s="3"/>
      <c r="B341" s="3"/>
      <c r="C341" s="3"/>
      <c r="D341" s="3"/>
      <c r="E341" s="3"/>
      <c r="F341" s="3"/>
      <c r="G341" s="3"/>
    </row>
    <row r="342" spans="1:7" ht="18" customHeight="1" x14ac:dyDescent="0.35">
      <c r="A342" s="3"/>
      <c r="B342" s="3"/>
      <c r="C342" s="3"/>
      <c r="D342" s="3"/>
      <c r="E342" s="3"/>
      <c r="F342" s="3"/>
      <c r="G342" s="3"/>
    </row>
    <row r="343" spans="1:7" ht="18" customHeight="1" x14ac:dyDescent="0.35">
      <c r="A343" s="3"/>
      <c r="B343" s="3"/>
      <c r="C343" s="3"/>
      <c r="D343" s="3"/>
      <c r="E343" s="3"/>
      <c r="F343" s="3"/>
      <c r="G343" s="3"/>
    </row>
    <row r="344" spans="1:7" ht="18" customHeight="1" x14ac:dyDescent="0.35">
      <c r="A344" s="3"/>
      <c r="B344" s="3"/>
      <c r="C344" s="3"/>
      <c r="D344" s="3"/>
      <c r="E344" s="3"/>
      <c r="F344" s="3"/>
      <c r="G344" s="3"/>
    </row>
    <row r="345" spans="1:7" ht="18" customHeight="1" x14ac:dyDescent="0.35">
      <c r="A345" s="3"/>
      <c r="B345" s="3"/>
      <c r="C345" s="3"/>
      <c r="D345" s="3"/>
      <c r="E345" s="3"/>
      <c r="F345" s="3"/>
      <c r="G345" s="3"/>
    </row>
    <row r="346" spans="1:7" ht="18" customHeight="1" x14ac:dyDescent="0.35">
      <c r="A346" s="3"/>
      <c r="B346" s="3"/>
      <c r="C346" s="3"/>
      <c r="D346" s="3"/>
      <c r="E346" s="3"/>
      <c r="F346" s="3"/>
      <c r="G346" s="3"/>
    </row>
    <row r="347" spans="1:7" ht="18" customHeight="1" x14ac:dyDescent="0.35">
      <c r="A347" s="3"/>
      <c r="B347" s="3"/>
      <c r="C347" s="3"/>
      <c r="D347" s="3"/>
      <c r="E347" s="3"/>
      <c r="F347" s="3"/>
      <c r="G347" s="3"/>
    </row>
    <row r="348" spans="1:7" ht="18" customHeight="1" x14ac:dyDescent="0.35">
      <c r="A348" s="3"/>
      <c r="B348" s="3"/>
      <c r="C348" s="3"/>
      <c r="D348" s="3"/>
      <c r="E348" s="3"/>
      <c r="F348" s="3"/>
      <c r="G348" s="3"/>
    </row>
    <row r="349" spans="1:7" ht="18" customHeight="1" x14ac:dyDescent="0.35">
      <c r="A349" s="3"/>
      <c r="B349" s="3"/>
      <c r="C349" s="3"/>
      <c r="D349" s="3"/>
      <c r="E349" s="3"/>
      <c r="F349" s="3"/>
      <c r="G349" s="3"/>
    </row>
    <row r="350" spans="1:7" ht="18" customHeight="1" x14ac:dyDescent="0.35">
      <c r="A350" s="3"/>
      <c r="B350" s="3"/>
      <c r="C350" s="3"/>
      <c r="D350" s="3"/>
      <c r="E350" s="3"/>
      <c r="F350" s="3"/>
      <c r="G350" s="3"/>
    </row>
    <row r="351" spans="1:7" ht="18" customHeight="1" x14ac:dyDescent="0.35">
      <c r="A351" s="3"/>
      <c r="B351" s="3"/>
      <c r="C351" s="3"/>
      <c r="D351" s="3"/>
      <c r="E351" s="3"/>
      <c r="F351" s="3"/>
      <c r="G351" s="3"/>
    </row>
    <row r="352" spans="1:7" ht="18" customHeight="1" x14ac:dyDescent="0.35">
      <c r="A352" s="3"/>
      <c r="B352" s="3"/>
      <c r="C352" s="3"/>
      <c r="D352" s="3"/>
      <c r="E352" s="3"/>
      <c r="F352" s="3"/>
      <c r="G352" s="3"/>
    </row>
    <row r="353" spans="1:7" ht="18" customHeight="1" x14ac:dyDescent="0.35">
      <c r="A353" s="3"/>
      <c r="B353" s="3"/>
      <c r="C353" s="3"/>
      <c r="D353" s="3"/>
      <c r="E353" s="3"/>
      <c r="F353" s="3"/>
      <c r="G353" s="3"/>
    </row>
    <row r="354" spans="1:7" ht="18" customHeight="1" x14ac:dyDescent="0.35">
      <c r="A354" s="3"/>
      <c r="B354" s="3"/>
      <c r="C354" s="3"/>
      <c r="D354" s="3"/>
      <c r="E354" s="3"/>
      <c r="F354" s="3"/>
      <c r="G354" s="3"/>
    </row>
    <row r="355" spans="1:7" ht="18" customHeight="1" x14ac:dyDescent="0.35">
      <c r="A355" s="3"/>
      <c r="B355" s="3"/>
      <c r="C355" s="3"/>
      <c r="D355" s="3"/>
      <c r="E355" s="3"/>
      <c r="F355" s="3"/>
      <c r="G355" s="3"/>
    </row>
    <row r="356" spans="1:7" ht="18" customHeight="1" x14ac:dyDescent="0.35">
      <c r="A356" s="3"/>
      <c r="B356" s="3"/>
      <c r="C356" s="3"/>
      <c r="D356" s="3"/>
      <c r="E356" s="3"/>
      <c r="F356" s="3"/>
      <c r="G356" s="3"/>
    </row>
    <row r="357" spans="1:7" ht="18" customHeight="1" x14ac:dyDescent="0.35">
      <c r="A357" s="3"/>
      <c r="B357" s="3"/>
      <c r="C357" s="3"/>
      <c r="D357" s="3"/>
      <c r="E357" s="3"/>
      <c r="F357" s="3"/>
      <c r="G357" s="3"/>
    </row>
    <row r="358" spans="1:7" ht="18" customHeight="1" x14ac:dyDescent="0.35">
      <c r="A358" s="3"/>
      <c r="B358" s="3"/>
      <c r="C358" s="3"/>
      <c r="D358" s="3"/>
      <c r="E358" s="3"/>
      <c r="F358" s="3"/>
      <c r="G358" s="3"/>
    </row>
    <row r="359" spans="1:7" ht="18" customHeight="1" x14ac:dyDescent="0.35">
      <c r="A359" s="3"/>
      <c r="B359" s="3"/>
      <c r="C359" s="3"/>
      <c r="D359" s="3"/>
      <c r="E359" s="3"/>
      <c r="F359" s="3"/>
      <c r="G359" s="3"/>
    </row>
    <row r="360" spans="1:7" ht="18" customHeight="1" x14ac:dyDescent="0.35">
      <c r="A360" s="3"/>
      <c r="B360" s="3"/>
      <c r="C360" s="3"/>
      <c r="D360" s="3"/>
      <c r="E360" s="3"/>
      <c r="F360" s="3"/>
      <c r="G360" s="3"/>
    </row>
    <row r="361" spans="1:7" ht="18" customHeight="1" x14ac:dyDescent="0.35">
      <c r="A361" s="3"/>
      <c r="B361" s="3"/>
      <c r="C361" s="3"/>
      <c r="D361" s="3"/>
      <c r="E361" s="3"/>
      <c r="F361" s="3"/>
      <c r="G361" s="3"/>
    </row>
    <row r="362" spans="1:7" ht="18" customHeight="1" x14ac:dyDescent="0.35">
      <c r="A362" s="3"/>
      <c r="B362" s="3"/>
      <c r="C362" s="3"/>
      <c r="D362" s="3"/>
      <c r="E362" s="3"/>
      <c r="F362" s="3"/>
      <c r="G362" s="3"/>
    </row>
    <row r="363" spans="1:7" ht="18" customHeight="1" x14ac:dyDescent="0.35">
      <c r="A363" s="3"/>
      <c r="B363" s="3"/>
      <c r="C363" s="3"/>
      <c r="D363" s="3"/>
      <c r="E363" s="3"/>
      <c r="F363" s="3"/>
      <c r="G363" s="3"/>
    </row>
    <row r="364" spans="1:7" ht="18" customHeight="1" x14ac:dyDescent="0.35">
      <c r="A364" s="3"/>
      <c r="B364" s="3"/>
      <c r="C364" s="3"/>
      <c r="D364" s="3"/>
      <c r="E364" s="3"/>
      <c r="F364" s="3"/>
      <c r="G364" s="3"/>
    </row>
    <row r="365" spans="1:7" ht="18" customHeight="1" x14ac:dyDescent="0.35">
      <c r="A365" s="3"/>
      <c r="B365" s="3"/>
      <c r="C365" s="3"/>
      <c r="D365" s="3"/>
      <c r="E365" s="3"/>
      <c r="F365" s="3"/>
      <c r="G365" s="3"/>
    </row>
    <row r="366" spans="1:7" ht="18" customHeight="1" x14ac:dyDescent="0.35">
      <c r="A366" s="3"/>
      <c r="B366" s="3"/>
      <c r="C366" s="3"/>
      <c r="D366" s="3"/>
      <c r="E366" s="3"/>
      <c r="F366" s="3"/>
      <c r="G366" s="3"/>
    </row>
    <row r="367" spans="1:7" ht="18" customHeight="1" x14ac:dyDescent="0.35">
      <c r="A367" s="3"/>
      <c r="B367" s="3"/>
      <c r="C367" s="3"/>
      <c r="D367" s="3"/>
      <c r="E367" s="3"/>
      <c r="F367" s="3"/>
      <c r="G367" s="3"/>
    </row>
    <row r="368" spans="1:7" ht="18" customHeight="1" x14ac:dyDescent="0.35">
      <c r="A368" s="3"/>
      <c r="B368" s="3"/>
      <c r="C368" s="3"/>
      <c r="D368" s="3"/>
      <c r="E368" s="3"/>
      <c r="F368" s="3"/>
      <c r="G368" s="3"/>
    </row>
    <row r="369" spans="1:7" ht="18" customHeight="1" x14ac:dyDescent="0.35">
      <c r="A369" s="3"/>
      <c r="B369" s="3"/>
      <c r="C369" s="3"/>
      <c r="D369" s="3"/>
      <c r="E369" s="3"/>
      <c r="F369" s="3"/>
      <c r="G369" s="3"/>
    </row>
    <row r="370" spans="1:7" ht="18" customHeight="1" x14ac:dyDescent="0.35">
      <c r="A370" s="3"/>
      <c r="B370" s="3"/>
      <c r="C370" s="3"/>
      <c r="D370" s="3"/>
      <c r="E370" s="3"/>
      <c r="F370" s="3"/>
      <c r="G370" s="3"/>
    </row>
    <row r="371" spans="1:7" ht="18" customHeight="1" x14ac:dyDescent="0.35">
      <c r="A371" s="3"/>
      <c r="B371" s="3"/>
      <c r="C371" s="3"/>
      <c r="D371" s="3"/>
      <c r="E371" s="3"/>
      <c r="F371" s="3"/>
      <c r="G371" s="3"/>
    </row>
    <row r="372" spans="1:7" ht="18" customHeight="1" x14ac:dyDescent="0.35">
      <c r="A372" s="3"/>
      <c r="B372" s="3"/>
      <c r="C372" s="3"/>
      <c r="D372" s="3"/>
      <c r="E372" s="3"/>
      <c r="F372" s="3"/>
      <c r="G372" s="3"/>
    </row>
    <row r="373" spans="1:7" ht="18" customHeight="1" x14ac:dyDescent="0.35">
      <c r="A373" s="3"/>
      <c r="B373" s="3"/>
      <c r="C373" s="3"/>
      <c r="D373" s="3"/>
      <c r="E373" s="3"/>
      <c r="F373" s="3"/>
      <c r="G373" s="3"/>
    </row>
    <row r="374" spans="1:7" ht="18" customHeight="1" x14ac:dyDescent="0.35">
      <c r="A374" s="3"/>
      <c r="B374" s="3"/>
      <c r="C374" s="3"/>
      <c r="D374" s="3"/>
      <c r="E374" s="3"/>
      <c r="F374" s="3"/>
      <c r="G374" s="3"/>
    </row>
    <row r="375" spans="1:7" ht="18" customHeight="1" x14ac:dyDescent="0.35">
      <c r="A375" s="3"/>
      <c r="B375" s="3"/>
      <c r="C375" s="3"/>
      <c r="D375" s="3"/>
      <c r="E375" s="3"/>
      <c r="F375" s="3"/>
      <c r="G375" s="3"/>
    </row>
    <row r="376" spans="1:7" ht="18" customHeight="1" x14ac:dyDescent="0.35">
      <c r="A376" s="3"/>
      <c r="B376" s="3"/>
      <c r="C376" s="3"/>
      <c r="D376" s="3"/>
      <c r="E376" s="3"/>
      <c r="F376" s="3"/>
      <c r="G376" s="3"/>
    </row>
    <row r="377" spans="1:7" ht="18" customHeight="1" x14ac:dyDescent="0.35">
      <c r="A377" s="3"/>
      <c r="B377" s="3"/>
      <c r="C377" s="3"/>
      <c r="D377" s="3"/>
      <c r="E377" s="3"/>
      <c r="F377" s="3"/>
      <c r="G377" s="3"/>
    </row>
    <row r="378" spans="1:7" ht="18" customHeight="1" x14ac:dyDescent="0.35">
      <c r="A378" s="3"/>
      <c r="B378" s="3"/>
      <c r="C378" s="3"/>
      <c r="D378" s="3"/>
      <c r="E378" s="3"/>
      <c r="F378" s="3"/>
      <c r="G378" s="3"/>
    </row>
    <row r="379" spans="1:7" ht="18" customHeight="1" x14ac:dyDescent="0.35">
      <c r="A379" s="3"/>
      <c r="B379" s="3"/>
      <c r="C379" s="3"/>
      <c r="D379" s="3"/>
      <c r="E379" s="3"/>
      <c r="F379" s="3"/>
      <c r="G379" s="3"/>
    </row>
    <row r="380" spans="1:7" ht="18" customHeight="1" x14ac:dyDescent="0.35">
      <c r="A380" s="3"/>
      <c r="B380" s="3"/>
      <c r="C380" s="3"/>
      <c r="D380" s="3"/>
      <c r="E380" s="3"/>
      <c r="F380" s="3"/>
      <c r="G380" s="3"/>
    </row>
    <row r="381" spans="1:7" ht="18" customHeight="1" x14ac:dyDescent="0.35">
      <c r="A381" s="3"/>
      <c r="B381" s="3"/>
      <c r="C381" s="3"/>
      <c r="D381" s="3"/>
      <c r="E381" s="3"/>
      <c r="F381" s="3"/>
      <c r="G381" s="3"/>
    </row>
    <row r="382" spans="1:7" ht="18" customHeight="1" x14ac:dyDescent="0.35">
      <c r="A382" s="3"/>
      <c r="B382" s="3"/>
      <c r="C382" s="3"/>
      <c r="D382" s="3"/>
      <c r="E382" s="3"/>
      <c r="F382" s="3"/>
      <c r="G382" s="3"/>
    </row>
    <row r="383" spans="1:7" ht="18" customHeight="1" x14ac:dyDescent="0.35">
      <c r="A383" s="3"/>
      <c r="B383" s="3"/>
      <c r="C383" s="3"/>
      <c r="D383" s="3"/>
      <c r="E383" s="3"/>
      <c r="F383" s="3"/>
      <c r="G383" s="3"/>
    </row>
    <row r="384" spans="1:7" ht="18" customHeight="1" x14ac:dyDescent="0.35">
      <c r="A384" s="3"/>
      <c r="B384" s="3"/>
      <c r="C384" s="3"/>
      <c r="D384" s="3"/>
      <c r="E384" s="3"/>
      <c r="F384" s="3"/>
      <c r="G384" s="3"/>
    </row>
    <row r="385" spans="1:7" ht="18" customHeight="1" x14ac:dyDescent="0.35">
      <c r="A385" s="3"/>
      <c r="B385" s="3"/>
      <c r="C385" s="3"/>
      <c r="D385" s="3"/>
      <c r="E385" s="3"/>
      <c r="F385" s="3"/>
      <c r="G385" s="3"/>
    </row>
    <row r="386" spans="1:7" ht="18" customHeight="1" x14ac:dyDescent="0.35">
      <c r="A386" s="3"/>
      <c r="B386" s="3"/>
      <c r="C386" s="3"/>
      <c r="D386" s="3"/>
      <c r="E386" s="3"/>
      <c r="F386" s="3"/>
      <c r="G386" s="3"/>
    </row>
    <row r="387" spans="1:7" ht="18" customHeight="1" x14ac:dyDescent="0.35">
      <c r="A387" s="3"/>
      <c r="B387" s="3"/>
      <c r="C387" s="3"/>
      <c r="D387" s="3"/>
      <c r="E387" s="3"/>
      <c r="F387" s="3"/>
      <c r="G387" s="3"/>
    </row>
    <row r="388" spans="1:7" ht="18" customHeight="1" x14ac:dyDescent="0.35">
      <c r="A388" s="3"/>
      <c r="B388" s="3"/>
      <c r="C388" s="3"/>
      <c r="D388" s="3"/>
      <c r="E388" s="3"/>
      <c r="F388" s="3"/>
      <c r="G388" s="3"/>
    </row>
    <row r="389" spans="1:7" ht="18" customHeight="1" x14ac:dyDescent="0.35">
      <c r="A389" s="3"/>
      <c r="B389" s="3"/>
      <c r="C389" s="3"/>
      <c r="D389" s="3"/>
      <c r="E389" s="3"/>
      <c r="F389" s="3"/>
      <c r="G389" s="3"/>
    </row>
    <row r="390" spans="1:7" ht="18" customHeight="1" x14ac:dyDescent="0.35">
      <c r="A390" s="3"/>
      <c r="B390" s="3"/>
      <c r="C390" s="3"/>
      <c r="D390" s="3"/>
      <c r="E390" s="3"/>
      <c r="F390" s="3"/>
      <c r="G390" s="3"/>
    </row>
    <row r="391" spans="1:7" ht="18" customHeight="1" x14ac:dyDescent="0.35">
      <c r="A391" s="3"/>
      <c r="B391" s="3"/>
      <c r="C391" s="3"/>
      <c r="D391" s="3"/>
      <c r="E391" s="3"/>
      <c r="F391" s="3"/>
      <c r="G391" s="3"/>
    </row>
    <row r="392" spans="1:7" ht="18" customHeight="1" x14ac:dyDescent="0.35">
      <c r="A392" s="3"/>
      <c r="B392" s="3"/>
      <c r="C392" s="3"/>
      <c r="D392" s="3"/>
      <c r="E392" s="3"/>
      <c r="F392" s="3"/>
      <c r="G392" s="3"/>
    </row>
    <row r="393" spans="1:7" ht="18" customHeight="1" x14ac:dyDescent="0.35">
      <c r="A393" s="3"/>
      <c r="B393" s="3"/>
      <c r="C393" s="3"/>
      <c r="D393" s="3"/>
      <c r="E393" s="3"/>
      <c r="F393" s="3"/>
      <c r="G393" s="3"/>
    </row>
    <row r="394" spans="1:7" ht="18" customHeight="1" x14ac:dyDescent="0.35">
      <c r="A394" s="3"/>
      <c r="B394" s="3"/>
      <c r="C394" s="3"/>
      <c r="D394" s="3"/>
      <c r="E394" s="3"/>
      <c r="F394" s="3"/>
      <c r="G394" s="3"/>
    </row>
    <row r="395" spans="1:7" ht="18" customHeight="1" x14ac:dyDescent="0.35">
      <c r="A395" s="3"/>
      <c r="B395" s="3"/>
      <c r="C395" s="3"/>
      <c r="D395" s="3"/>
      <c r="E395" s="3"/>
      <c r="F395" s="3"/>
      <c r="G395" s="3"/>
    </row>
    <row r="396" spans="1:7" ht="18" customHeight="1" x14ac:dyDescent="0.35">
      <c r="A396" s="3"/>
      <c r="B396" s="3"/>
      <c r="C396" s="3"/>
      <c r="D396" s="3"/>
      <c r="E396" s="3"/>
      <c r="F396" s="3"/>
      <c r="G396" s="3"/>
    </row>
    <row r="397" spans="1:7" ht="18" customHeight="1" x14ac:dyDescent="0.35">
      <c r="A397" s="3"/>
      <c r="B397" s="3"/>
      <c r="C397" s="3"/>
      <c r="D397" s="3"/>
      <c r="E397" s="3"/>
      <c r="F397" s="3"/>
      <c r="G397" s="3"/>
    </row>
    <row r="398" spans="1:7" ht="18" customHeight="1" x14ac:dyDescent="0.35">
      <c r="A398" s="3"/>
      <c r="B398" s="3"/>
      <c r="C398" s="3"/>
      <c r="D398" s="3"/>
      <c r="E398" s="3"/>
      <c r="F398" s="3"/>
      <c r="G398" s="3"/>
    </row>
    <row r="399" spans="1:7" ht="18" customHeight="1" x14ac:dyDescent="0.35">
      <c r="A399" s="3"/>
      <c r="B399" s="3"/>
      <c r="C399" s="3"/>
      <c r="D399" s="3"/>
      <c r="E399" s="3"/>
      <c r="F399" s="3"/>
      <c r="G399" s="3"/>
    </row>
    <row r="400" spans="1:7" ht="18" customHeight="1" x14ac:dyDescent="0.35">
      <c r="A400" s="3"/>
      <c r="B400" s="3"/>
      <c r="C400" s="3"/>
      <c r="D400" s="3"/>
      <c r="E400" s="3"/>
      <c r="F400" s="3"/>
      <c r="G400" s="3"/>
    </row>
    <row r="401" spans="1:7" ht="18" customHeight="1" x14ac:dyDescent="0.35">
      <c r="A401" s="3"/>
      <c r="B401" s="3"/>
      <c r="C401" s="3"/>
      <c r="D401" s="3"/>
      <c r="E401" s="3"/>
      <c r="F401" s="3"/>
      <c r="G401" s="3"/>
    </row>
    <row r="402" spans="1:7" ht="18" customHeight="1" x14ac:dyDescent="0.35">
      <c r="A402" s="3"/>
      <c r="B402" s="3"/>
      <c r="C402" s="3"/>
      <c r="D402" s="3"/>
      <c r="E402" s="3"/>
      <c r="F402" s="3"/>
      <c r="G402" s="3"/>
    </row>
    <row r="403" spans="1:7" ht="18" customHeight="1" x14ac:dyDescent="0.35">
      <c r="A403" s="3"/>
      <c r="B403" s="3"/>
      <c r="C403" s="3"/>
      <c r="D403" s="3"/>
      <c r="E403" s="3"/>
      <c r="F403" s="3"/>
      <c r="G403" s="3"/>
    </row>
    <row r="404" spans="1:7" ht="18" customHeight="1" x14ac:dyDescent="0.35">
      <c r="A404" s="3"/>
      <c r="B404" s="3"/>
      <c r="C404" s="3"/>
      <c r="D404" s="3"/>
      <c r="E404" s="3"/>
      <c r="F404" s="3"/>
      <c r="G404" s="3"/>
    </row>
    <row r="405" spans="1:7" ht="18" customHeight="1" x14ac:dyDescent="0.35">
      <c r="A405" s="3"/>
      <c r="B405" s="3"/>
      <c r="C405" s="3"/>
      <c r="D405" s="3"/>
      <c r="E405" s="3"/>
      <c r="F405" s="3"/>
      <c r="G405" s="3"/>
    </row>
    <row r="406" spans="1:7" ht="18" customHeight="1" x14ac:dyDescent="0.35">
      <c r="A406" s="3"/>
      <c r="B406" s="3"/>
      <c r="C406" s="3"/>
      <c r="D406" s="3"/>
      <c r="E406" s="3"/>
      <c r="F406" s="3"/>
      <c r="G406" s="3"/>
    </row>
    <row r="407" spans="1:7" ht="18" customHeight="1" x14ac:dyDescent="0.35">
      <c r="A407" s="3"/>
      <c r="B407" s="3"/>
      <c r="C407" s="3"/>
      <c r="D407" s="3"/>
      <c r="E407" s="3"/>
      <c r="F407" s="3"/>
      <c r="G407" s="3"/>
    </row>
    <row r="408" spans="1:7" ht="18" customHeight="1" x14ac:dyDescent="0.35">
      <c r="A408" s="3"/>
      <c r="B408" s="3"/>
      <c r="C408" s="3"/>
      <c r="D408" s="3"/>
      <c r="E408" s="3"/>
      <c r="F408" s="3"/>
      <c r="G408" s="3"/>
    </row>
    <row r="409" spans="1:7" ht="18" customHeight="1" x14ac:dyDescent="0.35">
      <c r="A409" s="3"/>
      <c r="B409" s="3"/>
      <c r="C409" s="3"/>
      <c r="D409" s="3"/>
      <c r="E409" s="3"/>
      <c r="F409" s="3"/>
      <c r="G409" s="3"/>
    </row>
    <row r="410" spans="1:7" ht="18" customHeight="1" x14ac:dyDescent="0.35">
      <c r="A410" s="3"/>
      <c r="B410" s="3"/>
      <c r="C410" s="3"/>
      <c r="D410" s="3"/>
      <c r="E410" s="3"/>
      <c r="F410" s="3"/>
      <c r="G410" s="3"/>
    </row>
    <row r="411" spans="1:7" ht="18" customHeight="1" x14ac:dyDescent="0.35">
      <c r="A411" s="3"/>
      <c r="B411" s="3"/>
      <c r="C411" s="3"/>
      <c r="D411" s="3"/>
      <c r="E411" s="3"/>
      <c r="F411" s="3"/>
      <c r="G411" s="3"/>
    </row>
    <row r="412" spans="1:7" ht="18" customHeight="1" x14ac:dyDescent="0.35">
      <c r="A412" s="3"/>
      <c r="B412" s="3"/>
      <c r="C412" s="3"/>
      <c r="D412" s="3"/>
      <c r="E412" s="3"/>
      <c r="F412" s="3"/>
      <c r="G412" s="3"/>
    </row>
    <row r="413" spans="1:7" ht="18" customHeight="1" x14ac:dyDescent="0.35">
      <c r="A413" s="3"/>
      <c r="B413" s="3"/>
      <c r="C413" s="3"/>
      <c r="D413" s="3"/>
      <c r="E413" s="3"/>
      <c r="F413" s="3"/>
      <c r="G413" s="3"/>
    </row>
    <row r="414" spans="1:7" ht="18" customHeight="1" x14ac:dyDescent="0.35">
      <c r="A414" s="3"/>
      <c r="B414" s="3"/>
      <c r="C414" s="3"/>
      <c r="D414" s="3"/>
      <c r="E414" s="3"/>
      <c r="F414" s="3"/>
      <c r="G414" s="3"/>
    </row>
    <row r="415" spans="1:7" ht="18" customHeight="1" x14ac:dyDescent="0.35">
      <c r="A415" s="3"/>
      <c r="B415" s="3"/>
      <c r="C415" s="3"/>
      <c r="D415" s="3"/>
      <c r="E415" s="3"/>
      <c r="F415" s="3"/>
      <c r="G415" s="3"/>
    </row>
    <row r="416" spans="1:7" ht="18" customHeight="1" x14ac:dyDescent="0.35">
      <c r="A416" s="3"/>
      <c r="B416" s="3"/>
      <c r="C416" s="3"/>
      <c r="D416" s="3"/>
      <c r="E416" s="3"/>
      <c r="F416" s="3"/>
      <c r="G416" s="3"/>
    </row>
    <row r="417" spans="1:7" ht="18" customHeight="1" x14ac:dyDescent="0.35">
      <c r="A417" s="3"/>
      <c r="B417" s="3"/>
      <c r="C417" s="3"/>
      <c r="D417" s="3"/>
      <c r="E417" s="3"/>
      <c r="F417" s="3"/>
      <c r="G417" s="3"/>
    </row>
    <row r="418" spans="1:7" ht="18" customHeight="1" x14ac:dyDescent="0.35">
      <c r="A418" s="3"/>
      <c r="B418" s="3"/>
      <c r="C418" s="3"/>
      <c r="D418" s="3"/>
      <c r="E418" s="3"/>
      <c r="F418" s="3"/>
      <c r="G418" s="3"/>
    </row>
    <row r="419" spans="1:7" ht="18" customHeight="1" x14ac:dyDescent="0.35">
      <c r="A419" s="3"/>
      <c r="B419" s="3"/>
      <c r="C419" s="3"/>
      <c r="D419" s="3"/>
      <c r="E419" s="3"/>
      <c r="F419" s="3"/>
      <c r="G419" s="3"/>
    </row>
    <row r="420" spans="1:7" ht="18" customHeight="1" x14ac:dyDescent="0.35">
      <c r="A420" s="3"/>
      <c r="B420" s="3"/>
      <c r="C420" s="3"/>
      <c r="D420" s="3"/>
      <c r="E420" s="3"/>
      <c r="F420" s="3"/>
      <c r="G420" s="3"/>
    </row>
    <row r="421" spans="1:7" ht="18" customHeight="1" x14ac:dyDescent="0.35">
      <c r="A421" s="3"/>
      <c r="B421" s="3"/>
      <c r="C421" s="3"/>
      <c r="D421" s="3"/>
      <c r="E421" s="3"/>
      <c r="F421" s="3"/>
      <c r="G421" s="3"/>
    </row>
    <row r="422" spans="1:7" ht="18" customHeight="1" x14ac:dyDescent="0.35">
      <c r="A422" s="3"/>
      <c r="B422" s="3"/>
      <c r="C422" s="3"/>
      <c r="D422" s="3"/>
      <c r="E422" s="3"/>
      <c r="F422" s="3"/>
      <c r="G422" s="3"/>
    </row>
    <row r="423" spans="1:7" ht="18" customHeight="1" x14ac:dyDescent="0.35">
      <c r="A423" s="3"/>
      <c r="B423" s="3"/>
      <c r="C423" s="3"/>
      <c r="D423" s="3"/>
      <c r="E423" s="3"/>
      <c r="F423" s="3"/>
      <c r="G423" s="3"/>
    </row>
    <row r="424" spans="1:7" ht="18" customHeight="1" x14ac:dyDescent="0.35">
      <c r="A424" s="3"/>
      <c r="B424" s="3"/>
      <c r="C424" s="3"/>
      <c r="D424" s="3"/>
      <c r="E424" s="3"/>
      <c r="F424" s="3"/>
      <c r="G424" s="3"/>
    </row>
    <row r="425" spans="1:7" ht="18" customHeight="1" x14ac:dyDescent="0.35">
      <c r="A425" s="3"/>
      <c r="B425" s="3"/>
      <c r="C425" s="3"/>
      <c r="D425" s="3"/>
      <c r="E425" s="3"/>
      <c r="F425" s="3"/>
      <c r="G425" s="3"/>
    </row>
    <row r="426" spans="1:7" ht="18" customHeight="1" x14ac:dyDescent="0.35">
      <c r="A426" s="3"/>
      <c r="B426" s="3"/>
      <c r="C426" s="3"/>
      <c r="D426" s="3"/>
      <c r="E426" s="3"/>
      <c r="F426" s="3"/>
      <c r="G426" s="3"/>
    </row>
    <row r="427" spans="1:7" ht="18" customHeight="1" x14ac:dyDescent="0.35">
      <c r="A427" s="3"/>
      <c r="B427" s="3"/>
      <c r="C427" s="3"/>
      <c r="D427" s="3"/>
      <c r="E427" s="3"/>
      <c r="F427" s="3"/>
      <c r="G427" s="3"/>
    </row>
    <row r="428" spans="1:7" ht="18" customHeight="1" x14ac:dyDescent="0.35">
      <c r="A428" s="3"/>
      <c r="B428" s="3"/>
      <c r="C428" s="3"/>
      <c r="D428" s="3"/>
      <c r="E428" s="3"/>
      <c r="F428" s="3"/>
      <c r="G428" s="3"/>
    </row>
    <row r="429" spans="1:7" ht="18" customHeight="1" x14ac:dyDescent="0.35">
      <c r="A429" s="3"/>
      <c r="B429" s="3"/>
      <c r="C429" s="3"/>
      <c r="D429" s="3"/>
      <c r="E429" s="3"/>
      <c r="F429" s="3"/>
      <c r="G429" s="3"/>
    </row>
    <row r="430" spans="1:7" ht="18" customHeight="1" x14ac:dyDescent="0.35">
      <c r="A430" s="3"/>
      <c r="B430" s="3"/>
      <c r="C430" s="3"/>
      <c r="D430" s="3"/>
      <c r="E430" s="3"/>
      <c r="F430" s="3"/>
      <c r="G430" s="3"/>
    </row>
    <row r="431" spans="1:7" ht="18" customHeight="1" x14ac:dyDescent="0.35">
      <c r="A431" s="3"/>
      <c r="B431" s="3"/>
      <c r="C431" s="3"/>
      <c r="D431" s="3"/>
      <c r="E431" s="3"/>
      <c r="F431" s="3"/>
      <c r="G431" s="3"/>
    </row>
    <row r="432" spans="1:7" ht="18" customHeight="1" x14ac:dyDescent="0.35">
      <c r="A432" s="3"/>
      <c r="B432" s="3"/>
      <c r="C432" s="3"/>
      <c r="D432" s="3"/>
      <c r="E432" s="3"/>
      <c r="F432" s="3"/>
      <c r="G432" s="3"/>
    </row>
    <row r="433" spans="1:7" ht="18" customHeight="1" x14ac:dyDescent="0.35">
      <c r="A433" s="3"/>
      <c r="B433" s="3"/>
      <c r="C433" s="3"/>
      <c r="D433" s="3"/>
      <c r="E433" s="3"/>
      <c r="F433" s="3"/>
      <c r="G433" s="3"/>
    </row>
    <row r="434" spans="1:7" ht="18" customHeight="1" x14ac:dyDescent="0.35">
      <c r="A434" s="3"/>
      <c r="B434" s="3"/>
      <c r="C434" s="3"/>
      <c r="D434" s="3"/>
      <c r="E434" s="3"/>
      <c r="F434" s="3"/>
      <c r="G434" s="3"/>
    </row>
    <row r="435" spans="1:7" ht="18" customHeight="1" x14ac:dyDescent="0.35">
      <c r="A435" s="3"/>
      <c r="B435" s="3"/>
      <c r="C435" s="3"/>
      <c r="D435" s="3"/>
      <c r="E435" s="3"/>
      <c r="F435" s="3"/>
      <c r="G435" s="3"/>
    </row>
    <row r="436" spans="1:7" ht="18" customHeight="1" x14ac:dyDescent="0.35">
      <c r="A436" s="3"/>
      <c r="B436" s="3"/>
      <c r="C436" s="3"/>
      <c r="D436" s="3"/>
      <c r="E436" s="3"/>
      <c r="F436" s="3"/>
      <c r="G436" s="3"/>
    </row>
    <row r="437" spans="1:7" ht="18" customHeight="1" x14ac:dyDescent="0.35">
      <c r="A437" s="3"/>
      <c r="B437" s="3"/>
      <c r="C437" s="3"/>
      <c r="D437" s="3"/>
      <c r="E437" s="3"/>
      <c r="F437" s="3"/>
      <c r="G437" s="3"/>
    </row>
    <row r="438" spans="1:7" ht="18" customHeight="1" x14ac:dyDescent="0.35">
      <c r="A438" s="3"/>
      <c r="B438" s="3"/>
      <c r="C438" s="3"/>
      <c r="D438" s="3"/>
      <c r="E438" s="3"/>
      <c r="F438" s="3"/>
      <c r="G438" s="3"/>
    </row>
    <row r="439" spans="1:7" ht="18" customHeight="1" x14ac:dyDescent="0.35">
      <c r="A439" s="3"/>
      <c r="B439" s="3"/>
      <c r="C439" s="3"/>
      <c r="D439" s="3"/>
      <c r="E439" s="3"/>
      <c r="F439" s="3"/>
      <c r="G439" s="3"/>
    </row>
    <row r="440" spans="1:7" ht="18" customHeight="1" x14ac:dyDescent="0.35">
      <c r="A440" s="3"/>
      <c r="B440" s="3"/>
      <c r="C440" s="3"/>
      <c r="D440" s="3"/>
      <c r="E440" s="3"/>
      <c r="F440" s="3"/>
      <c r="G440" s="3"/>
    </row>
    <row r="441" spans="1:7" ht="18" customHeight="1" x14ac:dyDescent="0.35">
      <c r="A441" s="3"/>
      <c r="B441" s="3"/>
      <c r="C441" s="3"/>
      <c r="D441" s="3"/>
      <c r="E441" s="3"/>
      <c r="F441" s="3"/>
      <c r="G441" s="3"/>
    </row>
    <row r="442" spans="1:7" ht="18" customHeight="1" x14ac:dyDescent="0.35">
      <c r="A442" s="3"/>
      <c r="B442" s="3"/>
      <c r="C442" s="3"/>
      <c r="D442" s="3"/>
      <c r="E442" s="3"/>
      <c r="F442" s="3"/>
      <c r="G442" s="3"/>
    </row>
    <row r="443" spans="1:7" ht="18" customHeight="1" x14ac:dyDescent="0.35">
      <c r="A443" s="3"/>
      <c r="B443" s="3"/>
      <c r="C443" s="3"/>
      <c r="D443" s="3"/>
      <c r="E443" s="3"/>
      <c r="F443" s="3"/>
      <c r="G443" s="3"/>
    </row>
    <row r="444" spans="1:7" ht="18" customHeight="1" x14ac:dyDescent="0.35">
      <c r="A444" s="3"/>
      <c r="B444" s="3"/>
      <c r="C444" s="3"/>
      <c r="D444" s="3"/>
      <c r="E444" s="3"/>
      <c r="F444" s="3"/>
      <c r="G444" s="3"/>
    </row>
    <row r="445" spans="1:7" ht="18" customHeight="1" x14ac:dyDescent="0.35">
      <c r="A445" s="3"/>
      <c r="B445" s="3"/>
      <c r="C445" s="3"/>
      <c r="D445" s="3"/>
      <c r="E445" s="3"/>
      <c r="F445" s="3"/>
      <c r="G445" s="3"/>
    </row>
    <row r="446" spans="1:7" ht="18" customHeight="1" x14ac:dyDescent="0.35">
      <c r="A446" s="3"/>
      <c r="B446" s="3"/>
      <c r="C446" s="3"/>
      <c r="D446" s="3"/>
      <c r="E446" s="3"/>
      <c r="F446" s="3"/>
      <c r="G446" s="3"/>
    </row>
    <row r="447" spans="1:7" ht="18" customHeight="1" x14ac:dyDescent="0.35">
      <c r="A447" s="3"/>
      <c r="B447" s="3"/>
      <c r="C447" s="3"/>
      <c r="D447" s="3"/>
      <c r="E447" s="3"/>
      <c r="F447" s="3"/>
      <c r="G447" s="3"/>
    </row>
    <row r="448" spans="1:7" ht="18" customHeight="1" x14ac:dyDescent="0.35">
      <c r="A448" s="3"/>
      <c r="B448" s="3"/>
      <c r="C448" s="3"/>
      <c r="D448" s="3"/>
      <c r="E448" s="3"/>
      <c r="F448" s="3"/>
      <c r="G448" s="3"/>
    </row>
    <row r="449" spans="1:7" ht="18" customHeight="1" x14ac:dyDescent="0.35">
      <c r="A449" s="3"/>
      <c r="B449" s="3"/>
      <c r="C449" s="3"/>
      <c r="D449" s="3"/>
      <c r="E449" s="3"/>
      <c r="F449" s="3"/>
      <c r="G449" s="3"/>
    </row>
    <row r="450" spans="1:7" ht="18" customHeight="1" x14ac:dyDescent="0.35">
      <c r="A450" s="3"/>
      <c r="B450" s="3"/>
      <c r="C450" s="3"/>
      <c r="D450" s="3"/>
      <c r="E450" s="3"/>
      <c r="F450" s="3"/>
      <c r="G450" s="3"/>
    </row>
    <row r="451" spans="1:7" ht="18" customHeight="1" x14ac:dyDescent="0.35">
      <c r="A451" s="3"/>
      <c r="B451" s="3"/>
      <c r="C451" s="3"/>
      <c r="D451" s="3"/>
      <c r="E451" s="3"/>
      <c r="F451" s="3"/>
      <c r="G451" s="3"/>
    </row>
    <row r="452" spans="1:7" ht="18" customHeight="1" x14ac:dyDescent="0.35">
      <c r="A452" s="3"/>
      <c r="B452" s="3"/>
      <c r="C452" s="3"/>
      <c r="D452" s="3"/>
      <c r="E452" s="3"/>
      <c r="F452" s="3"/>
      <c r="G452" s="3"/>
    </row>
    <row r="453" spans="1:7" ht="18" customHeight="1" x14ac:dyDescent="0.35">
      <c r="A453" s="3"/>
      <c r="B453" s="3"/>
      <c r="C453" s="3"/>
      <c r="D453" s="3"/>
      <c r="E453" s="3"/>
      <c r="F453" s="3"/>
      <c r="G453" s="3"/>
    </row>
    <row r="454" spans="1:7" ht="18" customHeight="1" x14ac:dyDescent="0.35">
      <c r="A454" s="3"/>
      <c r="B454" s="3"/>
      <c r="C454" s="3"/>
      <c r="D454" s="3"/>
      <c r="E454" s="3"/>
      <c r="F454" s="3"/>
      <c r="G454" s="3"/>
    </row>
    <row r="455" spans="1:7" ht="18" customHeight="1" x14ac:dyDescent="0.35">
      <c r="A455" s="3"/>
      <c r="B455" s="3"/>
      <c r="C455" s="3"/>
      <c r="D455" s="3"/>
      <c r="E455" s="3"/>
      <c r="F455" s="3"/>
      <c r="G455" s="3"/>
    </row>
    <row r="456" spans="1:7" ht="18" customHeight="1" x14ac:dyDescent="0.35">
      <c r="A456" s="3"/>
      <c r="B456" s="3"/>
      <c r="C456" s="3"/>
      <c r="D456" s="3"/>
      <c r="E456" s="3"/>
      <c r="F456" s="3"/>
      <c r="G456" s="3"/>
    </row>
    <row r="457" spans="1:7" ht="18" customHeight="1" x14ac:dyDescent="0.35">
      <c r="A457" s="3"/>
      <c r="B457" s="3"/>
      <c r="C457" s="3"/>
      <c r="D457" s="3"/>
      <c r="E457" s="3"/>
      <c r="F457" s="3"/>
      <c r="G457" s="3"/>
    </row>
    <row r="458" spans="1:7" ht="18" customHeight="1" x14ac:dyDescent="0.35">
      <c r="A458" s="3"/>
      <c r="B458" s="3"/>
      <c r="C458" s="3"/>
      <c r="D458" s="3"/>
      <c r="E458" s="3"/>
      <c r="F458" s="3"/>
      <c r="G458" s="3"/>
    </row>
    <row r="459" spans="1:7" ht="18" customHeight="1" x14ac:dyDescent="0.35">
      <c r="A459" s="3"/>
      <c r="B459" s="3"/>
      <c r="C459" s="3"/>
      <c r="D459" s="3"/>
      <c r="E459" s="3"/>
      <c r="F459" s="3"/>
      <c r="G459" s="3"/>
    </row>
    <row r="460" spans="1:7" ht="18" customHeight="1" x14ac:dyDescent="0.35">
      <c r="A460" s="3"/>
      <c r="B460" s="3"/>
      <c r="C460" s="3"/>
      <c r="D460" s="3"/>
      <c r="E460" s="3"/>
      <c r="F460" s="3"/>
      <c r="G460" s="3"/>
    </row>
    <row r="461" spans="1:7" ht="18" customHeight="1" x14ac:dyDescent="0.35">
      <c r="A461" s="3"/>
      <c r="B461" s="3"/>
      <c r="C461" s="3"/>
      <c r="D461" s="3"/>
      <c r="E461" s="3"/>
      <c r="F461" s="3"/>
      <c r="G461" s="3"/>
    </row>
    <row r="462" spans="1:7" ht="18" customHeight="1" x14ac:dyDescent="0.35">
      <c r="A462" s="3"/>
      <c r="B462" s="3"/>
      <c r="C462" s="3"/>
      <c r="D462" s="3"/>
      <c r="E462" s="3"/>
      <c r="F462" s="3"/>
      <c r="G462" s="3"/>
    </row>
    <row r="463" spans="1:7" ht="18" customHeight="1" x14ac:dyDescent="0.35">
      <c r="A463" s="3"/>
      <c r="B463" s="3"/>
      <c r="C463" s="3"/>
      <c r="D463" s="3"/>
      <c r="E463" s="3"/>
      <c r="F463" s="3"/>
      <c r="G463" s="3"/>
    </row>
    <row r="464" spans="1:7" ht="18" customHeight="1" x14ac:dyDescent="0.35">
      <c r="A464" s="3"/>
      <c r="B464" s="3"/>
      <c r="C464" s="3"/>
      <c r="D464" s="3"/>
      <c r="E464" s="3"/>
      <c r="F464" s="3"/>
      <c r="G464" s="3"/>
    </row>
    <row r="465" spans="1:7" ht="18" customHeight="1" x14ac:dyDescent="0.35">
      <c r="A465" s="3"/>
      <c r="B465" s="3"/>
      <c r="C465" s="3"/>
      <c r="D465" s="3"/>
      <c r="E465" s="3"/>
      <c r="F465" s="3"/>
      <c r="G465" s="3"/>
    </row>
    <row r="466" spans="1:7" ht="18" customHeight="1" x14ac:dyDescent="0.35">
      <c r="A466" s="3"/>
      <c r="B466" s="3"/>
      <c r="C466" s="3"/>
      <c r="D466" s="3"/>
      <c r="E466" s="3"/>
      <c r="F466" s="3"/>
      <c r="G466" s="3"/>
    </row>
    <row r="467" spans="1:7" ht="18" customHeight="1" x14ac:dyDescent="0.35">
      <c r="A467" s="3"/>
      <c r="B467" s="3"/>
      <c r="C467" s="3"/>
      <c r="D467" s="3"/>
      <c r="E467" s="3"/>
      <c r="F467" s="3"/>
      <c r="G467" s="3"/>
    </row>
    <row r="468" spans="1:7" ht="18" customHeight="1" x14ac:dyDescent="0.35">
      <c r="A468" s="3"/>
      <c r="B468" s="3"/>
      <c r="C468" s="3"/>
      <c r="D468" s="3"/>
      <c r="E468" s="3"/>
      <c r="F468" s="3"/>
      <c r="G468" s="3"/>
    </row>
    <row r="469" spans="1:7" ht="18" customHeight="1" x14ac:dyDescent="0.35">
      <c r="A469" s="3"/>
      <c r="B469" s="3"/>
      <c r="C469" s="3"/>
      <c r="D469" s="3"/>
      <c r="E469" s="3"/>
      <c r="F469" s="3"/>
      <c r="G469" s="3"/>
    </row>
    <row r="470" spans="1:7" ht="18" customHeight="1" x14ac:dyDescent="0.35">
      <c r="A470" s="3"/>
      <c r="B470" s="3"/>
      <c r="C470" s="3"/>
      <c r="D470" s="3"/>
      <c r="E470" s="3"/>
      <c r="F470" s="3"/>
      <c r="G470" s="3"/>
    </row>
    <row r="471" spans="1:7" ht="18" customHeight="1" x14ac:dyDescent="0.35">
      <c r="A471" s="3"/>
      <c r="B471" s="3"/>
      <c r="C471" s="3"/>
      <c r="D471" s="3"/>
      <c r="E471" s="3"/>
      <c r="F471" s="3"/>
      <c r="G471" s="3"/>
    </row>
    <row r="472" spans="1:7" ht="18" customHeight="1" x14ac:dyDescent="0.35">
      <c r="A472" s="3"/>
      <c r="B472" s="3"/>
      <c r="C472" s="3"/>
      <c r="D472" s="3"/>
      <c r="E472" s="3"/>
      <c r="F472" s="3"/>
      <c r="G472" s="3"/>
    </row>
    <row r="473" spans="1:7" ht="18" customHeight="1" x14ac:dyDescent="0.35">
      <c r="A473" s="3"/>
      <c r="B473" s="3"/>
      <c r="C473" s="3"/>
      <c r="D473" s="3"/>
      <c r="E473" s="3"/>
      <c r="F473" s="3"/>
      <c r="G473" s="3"/>
    </row>
    <row r="474" spans="1:7" ht="18" customHeight="1" x14ac:dyDescent="0.35">
      <c r="A474" s="3"/>
      <c r="B474" s="3"/>
      <c r="C474" s="3"/>
      <c r="D474" s="3"/>
      <c r="E474" s="3"/>
      <c r="F474" s="3"/>
      <c r="G474" s="3"/>
    </row>
    <row r="475" spans="1:7" ht="18" customHeight="1" x14ac:dyDescent="0.35">
      <c r="A475" s="3"/>
      <c r="B475" s="3"/>
      <c r="C475" s="3"/>
      <c r="D475" s="3"/>
      <c r="E475" s="3"/>
      <c r="F475" s="3"/>
      <c r="G475" s="3"/>
    </row>
    <row r="476" spans="1:7" ht="18" customHeight="1" x14ac:dyDescent="0.35">
      <c r="A476" s="3"/>
      <c r="B476" s="3"/>
      <c r="C476" s="3"/>
      <c r="D476" s="3"/>
      <c r="E476" s="3"/>
      <c r="F476" s="3"/>
      <c r="G476" s="3"/>
    </row>
    <row r="477" spans="1:7" ht="18" customHeight="1" x14ac:dyDescent="0.35">
      <c r="A477" s="3"/>
      <c r="B477" s="3"/>
      <c r="C477" s="3"/>
      <c r="D477" s="3"/>
      <c r="E477" s="3"/>
      <c r="F477" s="3"/>
      <c r="G477" s="3"/>
    </row>
    <row r="478" spans="1:7" ht="18" customHeight="1" x14ac:dyDescent="0.35">
      <c r="A478" s="3"/>
      <c r="B478" s="3"/>
      <c r="C478" s="3"/>
      <c r="D478" s="3"/>
      <c r="E478" s="3"/>
      <c r="F478" s="3"/>
      <c r="G478" s="3"/>
    </row>
    <row r="479" spans="1:7" ht="18" customHeight="1" x14ac:dyDescent="0.35">
      <c r="A479" s="3"/>
      <c r="B479" s="3"/>
      <c r="C479" s="3"/>
      <c r="D479" s="3"/>
      <c r="E479" s="3"/>
      <c r="F479" s="3"/>
      <c r="G479" s="3"/>
    </row>
    <row r="480" spans="1:7" ht="18" customHeight="1" x14ac:dyDescent="0.35">
      <c r="A480" s="3"/>
      <c r="B480" s="3"/>
      <c r="C480" s="3"/>
      <c r="D480" s="3"/>
      <c r="E480" s="3"/>
      <c r="F480" s="3"/>
      <c r="G480" s="3"/>
    </row>
    <row r="481" spans="1:7" ht="18" customHeight="1" x14ac:dyDescent="0.35">
      <c r="A481" s="3"/>
      <c r="B481" s="3"/>
      <c r="C481" s="3"/>
      <c r="D481" s="3"/>
      <c r="E481" s="3"/>
      <c r="F481" s="3"/>
      <c r="G481" s="3"/>
    </row>
    <row r="482" spans="1:7" ht="18" customHeight="1" x14ac:dyDescent="0.35">
      <c r="A482" s="3"/>
      <c r="B482" s="3"/>
      <c r="C482" s="3"/>
      <c r="D482" s="3"/>
      <c r="E482" s="3"/>
      <c r="F482" s="3"/>
      <c r="G482" s="3"/>
    </row>
    <row r="483" spans="1:7" ht="18" customHeight="1" x14ac:dyDescent="0.35">
      <c r="A483" s="3"/>
      <c r="B483" s="3"/>
      <c r="C483" s="3"/>
      <c r="D483" s="3"/>
      <c r="E483" s="3"/>
      <c r="F483" s="3"/>
      <c r="G483" s="3"/>
    </row>
    <row r="484" spans="1:7" ht="18" customHeight="1" x14ac:dyDescent="0.35">
      <c r="A484" s="3"/>
      <c r="B484" s="3"/>
      <c r="C484" s="3"/>
      <c r="D484" s="3"/>
      <c r="E484" s="3"/>
      <c r="F484" s="3"/>
      <c r="G484" s="3"/>
    </row>
    <row r="485" spans="1:7" ht="18" customHeight="1" x14ac:dyDescent="0.35">
      <c r="A485" s="3"/>
      <c r="B485" s="3"/>
      <c r="C485" s="3"/>
      <c r="D485" s="3"/>
      <c r="E485" s="3"/>
      <c r="F485" s="3"/>
      <c r="G485" s="3"/>
    </row>
    <row r="486" spans="1:7" ht="18" customHeight="1" x14ac:dyDescent="0.35">
      <c r="A486" s="3"/>
      <c r="B486" s="3"/>
      <c r="C486" s="3"/>
      <c r="D486" s="3"/>
      <c r="E486" s="3"/>
      <c r="F486" s="3"/>
      <c r="G486" s="3"/>
    </row>
    <row r="487" spans="1:7" ht="18" customHeight="1" x14ac:dyDescent="0.35">
      <c r="A487" s="3"/>
      <c r="B487" s="3"/>
      <c r="C487" s="3"/>
      <c r="D487" s="3"/>
      <c r="E487" s="3"/>
      <c r="F487" s="3"/>
      <c r="G487" s="3"/>
    </row>
    <row r="488" spans="1:7" ht="18" customHeight="1" x14ac:dyDescent="0.35">
      <c r="A488" s="3"/>
      <c r="B488" s="3"/>
      <c r="C488" s="3"/>
      <c r="D488" s="3"/>
      <c r="E488" s="3"/>
      <c r="F488" s="3"/>
      <c r="G488" s="3"/>
    </row>
    <row r="489" spans="1:7" ht="18" customHeight="1" x14ac:dyDescent="0.35">
      <c r="A489" s="3"/>
      <c r="B489" s="3"/>
      <c r="C489" s="3"/>
      <c r="D489" s="3"/>
      <c r="E489" s="3"/>
      <c r="F489" s="3"/>
      <c r="G489" s="3"/>
    </row>
    <row r="490" spans="1:7" ht="18" customHeight="1" x14ac:dyDescent="0.35">
      <c r="A490" s="3"/>
      <c r="B490" s="3"/>
      <c r="C490" s="3"/>
      <c r="D490" s="3"/>
      <c r="E490" s="3"/>
      <c r="F490" s="3"/>
      <c r="G490" s="3"/>
    </row>
    <row r="491" spans="1:7" ht="18" customHeight="1" x14ac:dyDescent="0.35">
      <c r="A491" s="3"/>
      <c r="B491" s="3"/>
      <c r="C491" s="3"/>
      <c r="D491" s="3"/>
      <c r="E491" s="3"/>
      <c r="F491" s="3"/>
      <c r="G491" s="3"/>
    </row>
    <row r="492" spans="1:7" ht="18" customHeight="1" x14ac:dyDescent="0.35">
      <c r="A492" s="3"/>
      <c r="B492" s="3"/>
      <c r="C492" s="3"/>
      <c r="D492" s="3"/>
      <c r="E492" s="3"/>
      <c r="F492" s="3"/>
      <c r="G492" s="3"/>
    </row>
    <row r="493" spans="1:7" ht="18" customHeight="1" x14ac:dyDescent="0.35">
      <c r="A493" s="3"/>
      <c r="B493" s="3"/>
      <c r="C493" s="3"/>
      <c r="D493" s="3"/>
      <c r="E493" s="3"/>
      <c r="F493" s="3"/>
      <c r="G493" s="3"/>
    </row>
    <row r="494" spans="1:7" ht="18" customHeight="1" x14ac:dyDescent="0.35">
      <c r="A494" s="3"/>
      <c r="B494" s="3"/>
      <c r="C494" s="3"/>
      <c r="D494" s="3"/>
      <c r="E494" s="3"/>
      <c r="F494" s="3"/>
      <c r="G494" s="3"/>
    </row>
    <row r="495" spans="1:7" ht="18" customHeight="1" x14ac:dyDescent="0.35">
      <c r="A495" s="3"/>
      <c r="B495" s="3"/>
      <c r="C495" s="3"/>
      <c r="D495" s="3"/>
      <c r="E495" s="3"/>
      <c r="F495" s="3"/>
      <c r="G495" s="3"/>
    </row>
    <row r="496" spans="1:7" ht="18" customHeight="1" x14ac:dyDescent="0.35">
      <c r="A496" s="3"/>
      <c r="B496" s="3"/>
      <c r="C496" s="3"/>
      <c r="D496" s="3"/>
      <c r="E496" s="3"/>
      <c r="F496" s="3"/>
      <c r="G496" s="3"/>
    </row>
    <row r="497" spans="1:7" ht="18" customHeight="1" x14ac:dyDescent="0.35">
      <c r="A497" s="3"/>
      <c r="B497" s="3"/>
      <c r="C497" s="3"/>
      <c r="D497" s="3"/>
      <c r="E497" s="3"/>
      <c r="F497" s="3"/>
      <c r="G497" s="3"/>
    </row>
    <row r="498" spans="1:7" ht="18" customHeight="1" x14ac:dyDescent="0.35">
      <c r="A498" s="3"/>
      <c r="B498" s="3"/>
      <c r="C498" s="3"/>
      <c r="D498" s="3"/>
      <c r="E498" s="3"/>
      <c r="F498" s="3"/>
      <c r="G498" s="3"/>
    </row>
    <row r="499" spans="1:7" ht="18" customHeight="1" x14ac:dyDescent="0.35">
      <c r="A499" s="3"/>
      <c r="B499" s="3"/>
      <c r="C499" s="3"/>
      <c r="D499" s="3"/>
      <c r="E499" s="3"/>
      <c r="F499" s="3"/>
      <c r="G499" s="3"/>
    </row>
    <row r="500" spans="1:7" ht="18" customHeight="1" x14ac:dyDescent="0.35">
      <c r="A500" s="3"/>
      <c r="B500" s="3"/>
      <c r="C500" s="3"/>
      <c r="D500" s="3"/>
      <c r="E500" s="3"/>
      <c r="F500" s="3"/>
      <c r="G500" s="3"/>
    </row>
    <row r="501" spans="1:7" ht="18" customHeight="1" x14ac:dyDescent="0.35">
      <c r="A501" s="3"/>
      <c r="B501" s="3"/>
      <c r="C501" s="3"/>
      <c r="D501" s="3"/>
      <c r="E501" s="3"/>
      <c r="F501" s="3"/>
      <c r="G501" s="3"/>
    </row>
    <row r="502" spans="1:7" ht="18" customHeight="1" x14ac:dyDescent="0.35">
      <c r="A502" s="3"/>
      <c r="B502" s="3"/>
      <c r="C502" s="3"/>
      <c r="D502" s="3"/>
      <c r="E502" s="3"/>
      <c r="F502" s="3"/>
      <c r="G502" s="3"/>
    </row>
    <row r="503" spans="1:7" ht="18" customHeight="1" x14ac:dyDescent="0.35">
      <c r="A503" s="3"/>
      <c r="B503" s="3"/>
      <c r="C503" s="3"/>
      <c r="D503" s="3"/>
      <c r="E503" s="3"/>
      <c r="F503" s="3"/>
      <c r="G503" s="3"/>
    </row>
    <row r="504" spans="1:7" ht="18" customHeight="1" x14ac:dyDescent="0.35">
      <c r="A504" s="3"/>
      <c r="B504" s="3"/>
      <c r="C504" s="3"/>
      <c r="D504" s="3"/>
      <c r="E504" s="3"/>
      <c r="F504" s="3"/>
      <c r="G504" s="3"/>
    </row>
    <row r="505" spans="1:7" ht="18" customHeight="1" x14ac:dyDescent="0.35">
      <c r="A505" s="3"/>
      <c r="B505" s="3"/>
      <c r="C505" s="3"/>
      <c r="D505" s="3"/>
      <c r="E505" s="3"/>
      <c r="F505" s="3"/>
      <c r="G505" s="3"/>
    </row>
    <row r="506" spans="1:7" ht="18" customHeight="1" x14ac:dyDescent="0.35">
      <c r="A506" s="3"/>
      <c r="B506" s="3"/>
      <c r="C506" s="3"/>
      <c r="D506" s="3"/>
      <c r="E506" s="3"/>
      <c r="F506" s="3"/>
      <c r="G506" s="3"/>
    </row>
    <row r="507" spans="1:7" ht="18" customHeight="1" x14ac:dyDescent="0.35">
      <c r="A507" s="3"/>
      <c r="B507" s="3"/>
      <c r="C507" s="3"/>
      <c r="D507" s="3"/>
      <c r="E507" s="3"/>
      <c r="F507" s="3"/>
      <c r="G507" s="3"/>
    </row>
    <row r="508" spans="1:7" ht="18" customHeight="1" x14ac:dyDescent="0.35">
      <c r="A508" s="3"/>
      <c r="B508" s="3"/>
      <c r="C508" s="3"/>
      <c r="D508" s="3"/>
      <c r="E508" s="3"/>
      <c r="F508" s="3"/>
      <c r="G508" s="3"/>
    </row>
    <row r="509" spans="1:7" ht="18" customHeight="1" x14ac:dyDescent="0.35">
      <c r="A509" s="3"/>
      <c r="B509" s="3"/>
      <c r="C509" s="3"/>
      <c r="D509" s="3"/>
      <c r="E509" s="3"/>
      <c r="F509" s="3"/>
      <c r="G509" s="3"/>
    </row>
    <row r="510" spans="1:7" ht="18" customHeight="1" x14ac:dyDescent="0.35">
      <c r="A510" s="3"/>
      <c r="B510" s="3"/>
      <c r="C510" s="3"/>
      <c r="D510" s="3"/>
      <c r="E510" s="3"/>
      <c r="F510" s="3"/>
      <c r="G510" s="3"/>
    </row>
    <row r="511" spans="1:7" ht="18" customHeight="1" x14ac:dyDescent="0.35">
      <c r="A511" s="3"/>
      <c r="B511" s="3"/>
      <c r="C511" s="3"/>
      <c r="D511" s="3"/>
      <c r="E511" s="3"/>
      <c r="F511" s="3"/>
      <c r="G511" s="3"/>
    </row>
    <row r="512" spans="1:7" ht="18" customHeight="1" x14ac:dyDescent="0.35">
      <c r="A512" s="3"/>
      <c r="B512" s="3"/>
      <c r="C512" s="3"/>
      <c r="D512" s="3"/>
      <c r="E512" s="3"/>
      <c r="F512" s="3"/>
      <c r="G512" s="3"/>
    </row>
    <row r="513" spans="1:7" ht="18" customHeight="1" x14ac:dyDescent="0.35">
      <c r="A513" s="3"/>
      <c r="B513" s="3"/>
      <c r="C513" s="3"/>
      <c r="D513" s="3"/>
      <c r="E513" s="3"/>
      <c r="F513" s="3"/>
      <c r="G513" s="3"/>
    </row>
    <row r="514" spans="1:7" ht="18" customHeight="1" x14ac:dyDescent="0.35">
      <c r="A514" s="3"/>
      <c r="B514" s="3"/>
      <c r="C514" s="3"/>
      <c r="D514" s="3"/>
      <c r="E514" s="3"/>
      <c r="F514" s="3"/>
      <c r="G514" s="3"/>
    </row>
    <row r="515" spans="1:7" ht="18" customHeight="1" x14ac:dyDescent="0.35">
      <c r="A515" s="3"/>
      <c r="B515" s="3"/>
      <c r="C515" s="3"/>
      <c r="D515" s="3"/>
      <c r="E515" s="3"/>
      <c r="F515" s="3"/>
      <c r="G515" s="3"/>
    </row>
    <row r="516" spans="1:7" ht="18" customHeight="1" x14ac:dyDescent="0.35">
      <c r="A516" s="3"/>
      <c r="B516" s="3"/>
      <c r="C516" s="3"/>
      <c r="D516" s="3"/>
      <c r="E516" s="3"/>
      <c r="F516" s="3"/>
      <c r="G516" s="3"/>
    </row>
    <row r="517" spans="1:7" ht="18" customHeight="1" x14ac:dyDescent="0.35">
      <c r="A517" s="3"/>
      <c r="B517" s="3"/>
      <c r="C517" s="3"/>
      <c r="D517" s="3"/>
      <c r="E517" s="3"/>
      <c r="F517" s="3"/>
      <c r="G517" s="3"/>
    </row>
    <row r="518" spans="1:7" ht="18" customHeight="1" x14ac:dyDescent="0.35">
      <c r="A518" s="3"/>
      <c r="B518" s="3"/>
      <c r="C518" s="3"/>
      <c r="D518" s="3"/>
      <c r="E518" s="3"/>
      <c r="F518" s="3"/>
      <c r="G518" s="3"/>
    </row>
    <row r="519" spans="1:7" ht="18" customHeight="1" x14ac:dyDescent="0.35">
      <c r="A519" s="3"/>
      <c r="B519" s="3"/>
      <c r="C519" s="3"/>
      <c r="D519" s="3"/>
      <c r="E519" s="3"/>
      <c r="F519" s="3"/>
      <c r="G519" s="3"/>
    </row>
    <row r="520" spans="1:7" ht="18" customHeight="1" x14ac:dyDescent="0.35">
      <c r="A520" s="3"/>
      <c r="B520" s="3"/>
      <c r="C520" s="3"/>
      <c r="D520" s="3"/>
      <c r="E520" s="3"/>
      <c r="F520" s="3"/>
      <c r="G520" s="3"/>
    </row>
    <row r="521" spans="1:7" ht="18" customHeight="1" x14ac:dyDescent="0.35">
      <c r="A521" s="3"/>
      <c r="B521" s="3"/>
      <c r="C521" s="3"/>
      <c r="D521" s="3"/>
      <c r="E521" s="3"/>
      <c r="F521" s="3"/>
      <c r="G521" s="3"/>
    </row>
    <row r="522" spans="1:7" ht="18" customHeight="1" x14ac:dyDescent="0.35">
      <c r="A522" s="3"/>
      <c r="B522" s="3"/>
      <c r="C522" s="3"/>
      <c r="D522" s="3"/>
      <c r="E522" s="3"/>
      <c r="F522" s="3"/>
      <c r="G522" s="3"/>
    </row>
    <row r="523" spans="1:7" ht="18" customHeight="1" x14ac:dyDescent="0.35">
      <c r="A523" s="3"/>
      <c r="B523" s="3"/>
      <c r="C523" s="3"/>
      <c r="D523" s="3"/>
      <c r="E523" s="3"/>
      <c r="F523" s="3"/>
      <c r="G523" s="3"/>
    </row>
    <row r="524" spans="1:7" ht="18" customHeight="1" x14ac:dyDescent="0.35">
      <c r="A524" s="3"/>
      <c r="B524" s="3"/>
      <c r="C524" s="3"/>
      <c r="D524" s="3"/>
      <c r="E524" s="3"/>
      <c r="F524" s="3"/>
      <c r="G524" s="3"/>
    </row>
    <row r="525" spans="1:7" ht="18" customHeight="1" x14ac:dyDescent="0.35">
      <c r="A525" s="3"/>
      <c r="B525" s="3"/>
      <c r="C525" s="3"/>
      <c r="D525" s="3"/>
      <c r="E525" s="3"/>
      <c r="F525" s="3"/>
      <c r="G525" s="3"/>
    </row>
    <row r="526" spans="1:7" ht="18" customHeight="1" x14ac:dyDescent="0.35">
      <c r="A526" s="3"/>
      <c r="B526" s="3"/>
      <c r="C526" s="3"/>
      <c r="D526" s="3"/>
      <c r="E526" s="3"/>
      <c r="F526" s="3"/>
      <c r="G526" s="3"/>
    </row>
    <row r="527" spans="1:7" ht="18" customHeight="1" x14ac:dyDescent="0.35">
      <c r="A527" s="3"/>
      <c r="B527" s="3"/>
      <c r="C527" s="3"/>
      <c r="D527" s="3"/>
      <c r="E527" s="3"/>
      <c r="F527" s="3"/>
      <c r="G527" s="3"/>
    </row>
    <row r="528" spans="1:7" ht="18" customHeight="1" x14ac:dyDescent="0.35">
      <c r="A528" s="3"/>
      <c r="B528" s="3"/>
      <c r="C528" s="3"/>
      <c r="D528" s="3"/>
      <c r="E528" s="3"/>
      <c r="F528" s="3"/>
      <c r="G528" s="3"/>
    </row>
    <row r="529" spans="1:7" ht="18" customHeight="1" x14ac:dyDescent="0.35">
      <c r="A529" s="3"/>
      <c r="B529" s="3"/>
      <c r="C529" s="3"/>
      <c r="D529" s="3"/>
      <c r="E529" s="3"/>
      <c r="F529" s="3"/>
      <c r="G529" s="3"/>
    </row>
    <row r="530" spans="1:7" ht="18" customHeight="1" x14ac:dyDescent="0.35">
      <c r="A530" s="3"/>
      <c r="B530" s="3"/>
      <c r="C530" s="3"/>
      <c r="D530" s="3"/>
      <c r="E530" s="3"/>
      <c r="F530" s="3"/>
      <c r="G530" s="3"/>
    </row>
    <row r="531" spans="1:7" ht="18" customHeight="1" x14ac:dyDescent="0.35">
      <c r="A531" s="3"/>
      <c r="B531" s="3"/>
      <c r="C531" s="3"/>
      <c r="D531" s="3"/>
      <c r="E531" s="3"/>
      <c r="F531" s="3"/>
      <c r="G531" s="3"/>
    </row>
    <row r="532" spans="1:7" ht="18" customHeight="1" x14ac:dyDescent="0.35">
      <c r="A532" s="3"/>
      <c r="B532" s="3"/>
      <c r="C532" s="3"/>
      <c r="D532" s="3"/>
      <c r="E532" s="3"/>
      <c r="F532" s="3"/>
      <c r="G532" s="3"/>
    </row>
    <row r="533" spans="1:7" ht="18" customHeight="1" x14ac:dyDescent="0.35">
      <c r="A533" s="3"/>
      <c r="B533" s="3"/>
      <c r="C533" s="3"/>
      <c r="D533" s="3"/>
      <c r="E533" s="3"/>
      <c r="F533" s="3"/>
      <c r="G533" s="3"/>
    </row>
    <row r="534" spans="1:7" ht="18" customHeight="1" x14ac:dyDescent="0.35">
      <c r="A534" s="3"/>
      <c r="B534" s="3"/>
      <c r="C534" s="3"/>
      <c r="D534" s="3"/>
      <c r="E534" s="3"/>
      <c r="F534" s="3"/>
      <c r="G534" s="3"/>
    </row>
    <row r="535" spans="1:7" ht="18" customHeight="1" x14ac:dyDescent="0.35">
      <c r="A535" s="3"/>
      <c r="B535" s="3"/>
      <c r="C535" s="3"/>
      <c r="D535" s="3"/>
      <c r="E535" s="3"/>
      <c r="F535" s="3"/>
      <c r="G535" s="3"/>
    </row>
    <row r="536" spans="1:7" ht="18" customHeight="1" x14ac:dyDescent="0.35">
      <c r="A536" s="3"/>
      <c r="B536" s="3"/>
      <c r="C536" s="3"/>
      <c r="D536" s="3"/>
      <c r="E536" s="3"/>
      <c r="F536" s="3"/>
      <c r="G536" s="3"/>
    </row>
    <row r="537" spans="1:7" ht="18" customHeight="1" x14ac:dyDescent="0.35">
      <c r="A537" s="3"/>
      <c r="B537" s="3"/>
      <c r="C537" s="3"/>
      <c r="D537" s="3"/>
      <c r="E537" s="3"/>
      <c r="F537" s="3"/>
      <c r="G537" s="3"/>
    </row>
    <row r="538" spans="1:7" ht="18" customHeight="1" x14ac:dyDescent="0.35">
      <c r="A538" s="3"/>
      <c r="B538" s="3"/>
      <c r="C538" s="3"/>
      <c r="D538" s="3"/>
      <c r="E538" s="3"/>
      <c r="F538" s="3"/>
      <c r="G538" s="3"/>
    </row>
    <row r="539" spans="1:7" ht="18" customHeight="1" x14ac:dyDescent="0.35">
      <c r="A539" s="3"/>
      <c r="B539" s="3"/>
      <c r="C539" s="3"/>
      <c r="D539" s="3"/>
      <c r="E539" s="3"/>
      <c r="F539" s="3"/>
      <c r="G539" s="3"/>
    </row>
    <row r="540" spans="1:7" ht="18" customHeight="1" x14ac:dyDescent="0.35">
      <c r="A540" s="3"/>
      <c r="B540" s="3"/>
      <c r="C540" s="3"/>
      <c r="D540" s="3"/>
      <c r="E540" s="3"/>
      <c r="F540" s="3"/>
      <c r="G540" s="3"/>
    </row>
    <row r="541" spans="1:7" ht="18" customHeight="1" x14ac:dyDescent="0.35">
      <c r="A541" s="3"/>
      <c r="B541" s="3"/>
      <c r="C541" s="3"/>
      <c r="D541" s="3"/>
      <c r="E541" s="3"/>
      <c r="F541" s="3"/>
      <c r="G541" s="3"/>
    </row>
    <row r="542" spans="1:7" ht="18" customHeight="1" x14ac:dyDescent="0.35">
      <c r="A542" s="3"/>
      <c r="B542" s="3"/>
      <c r="C542" s="3"/>
      <c r="D542" s="3"/>
      <c r="E542" s="3"/>
      <c r="F542" s="3"/>
      <c r="G542" s="3"/>
    </row>
    <row r="543" spans="1:7" ht="18" customHeight="1" x14ac:dyDescent="0.35">
      <c r="A543" s="3"/>
      <c r="B543" s="3"/>
      <c r="C543" s="3"/>
      <c r="D543" s="3"/>
      <c r="E543" s="3"/>
      <c r="F543" s="3"/>
      <c r="G543" s="3"/>
    </row>
    <row r="544" spans="1:7" ht="18" customHeight="1" x14ac:dyDescent="0.35">
      <c r="A544" s="3"/>
      <c r="B544" s="3"/>
      <c r="C544" s="3"/>
      <c r="D544" s="3"/>
      <c r="E544" s="3"/>
      <c r="F544" s="3"/>
      <c r="G544" s="3"/>
    </row>
    <row r="545" spans="1:7" ht="18" customHeight="1" x14ac:dyDescent="0.35">
      <c r="A545" s="3"/>
      <c r="B545" s="3"/>
      <c r="C545" s="3"/>
      <c r="D545" s="3"/>
      <c r="E545" s="3"/>
      <c r="F545" s="3"/>
      <c r="G545" s="3"/>
    </row>
    <row r="546" spans="1:7" ht="18" customHeight="1" x14ac:dyDescent="0.35">
      <c r="A546" s="3"/>
      <c r="B546" s="3"/>
      <c r="C546" s="3"/>
      <c r="D546" s="3"/>
      <c r="E546" s="3"/>
      <c r="F546" s="3"/>
      <c r="G546" s="3"/>
    </row>
    <row r="547" spans="1:7" ht="18" customHeight="1" x14ac:dyDescent="0.35">
      <c r="A547" s="3"/>
      <c r="B547" s="3"/>
      <c r="C547" s="3"/>
      <c r="D547" s="3"/>
      <c r="E547" s="3"/>
      <c r="F547" s="3"/>
      <c r="G547" s="3"/>
    </row>
    <row r="548" spans="1:7" ht="18" customHeight="1" x14ac:dyDescent="0.35">
      <c r="A548" s="3"/>
      <c r="B548" s="3"/>
      <c r="C548" s="3"/>
      <c r="D548" s="3"/>
      <c r="E548" s="3"/>
      <c r="F548" s="3"/>
      <c r="G548" s="3"/>
    </row>
    <row r="549" spans="1:7" ht="18" customHeight="1" x14ac:dyDescent="0.35">
      <c r="A549" s="3"/>
      <c r="B549" s="3"/>
      <c r="C549" s="3"/>
      <c r="D549" s="3"/>
      <c r="E549" s="3"/>
      <c r="F549" s="3"/>
      <c r="G549" s="3"/>
    </row>
    <row r="550" spans="1:7" ht="18" customHeight="1" x14ac:dyDescent="0.35">
      <c r="A550" s="3"/>
      <c r="B550" s="3"/>
      <c r="C550" s="3"/>
      <c r="D550" s="3"/>
      <c r="E550" s="3"/>
      <c r="F550" s="3"/>
      <c r="G550" s="3"/>
    </row>
    <row r="551" spans="1:7" ht="18" customHeight="1" x14ac:dyDescent="0.35">
      <c r="A551" s="3"/>
      <c r="B551" s="3"/>
      <c r="C551" s="3"/>
      <c r="D551" s="3"/>
      <c r="E551" s="3"/>
      <c r="F551" s="3"/>
      <c r="G551" s="3"/>
    </row>
    <row r="552" spans="1:7" ht="18" customHeight="1" x14ac:dyDescent="0.35">
      <c r="A552" s="3"/>
      <c r="B552" s="3"/>
      <c r="C552" s="3"/>
      <c r="D552" s="3"/>
      <c r="E552" s="3"/>
      <c r="F552" s="3"/>
      <c r="G552" s="3"/>
    </row>
    <row r="553" spans="1:7" ht="18" customHeight="1" x14ac:dyDescent="0.35">
      <c r="A553" s="3"/>
      <c r="B553" s="3"/>
      <c r="C553" s="3"/>
      <c r="D553" s="3"/>
      <c r="E553" s="3"/>
      <c r="F553" s="3"/>
      <c r="G553" s="3"/>
    </row>
    <row r="554" spans="1:7" ht="18" customHeight="1" x14ac:dyDescent="0.35">
      <c r="A554" s="3"/>
      <c r="B554" s="3"/>
      <c r="C554" s="3"/>
      <c r="D554" s="3"/>
      <c r="E554" s="3"/>
      <c r="F554" s="3"/>
      <c r="G554" s="3"/>
    </row>
    <row r="555" spans="1:7" ht="18" customHeight="1" x14ac:dyDescent="0.35">
      <c r="A555" s="3"/>
      <c r="B555" s="3"/>
      <c r="C555" s="3"/>
      <c r="D555" s="3"/>
      <c r="E555" s="3"/>
      <c r="F555" s="3"/>
      <c r="G555" s="3"/>
    </row>
    <row r="556" spans="1:7" ht="18" customHeight="1" x14ac:dyDescent="0.35">
      <c r="A556" s="3"/>
      <c r="B556" s="3"/>
      <c r="C556" s="3"/>
      <c r="D556" s="3"/>
      <c r="E556" s="3"/>
      <c r="F556" s="3"/>
      <c r="G556" s="3"/>
    </row>
    <row r="557" spans="1:7" ht="18" customHeight="1" x14ac:dyDescent="0.35">
      <c r="A557" s="3"/>
      <c r="B557" s="3"/>
      <c r="C557" s="3"/>
      <c r="D557" s="3"/>
      <c r="E557" s="3"/>
      <c r="F557" s="3"/>
      <c r="G557" s="3"/>
    </row>
    <row r="558" spans="1:7" ht="18" customHeight="1" x14ac:dyDescent="0.35">
      <c r="A558" s="3"/>
      <c r="B558" s="3"/>
      <c r="C558" s="3"/>
      <c r="D558" s="3"/>
      <c r="E558" s="3"/>
      <c r="F558" s="3"/>
      <c r="G558" s="3"/>
    </row>
    <row r="559" spans="1:7" ht="18" customHeight="1" x14ac:dyDescent="0.35">
      <c r="A559" s="3"/>
      <c r="B559" s="3"/>
      <c r="C559" s="3"/>
      <c r="D559" s="3"/>
      <c r="E559" s="3"/>
      <c r="F559" s="3"/>
      <c r="G559" s="3"/>
    </row>
    <row r="560" spans="1:7" ht="18" customHeight="1" x14ac:dyDescent="0.35">
      <c r="A560" s="3"/>
      <c r="B560" s="3"/>
      <c r="C560" s="3"/>
      <c r="D560" s="3"/>
      <c r="E560" s="3"/>
      <c r="F560" s="3"/>
      <c r="G560" s="3"/>
    </row>
    <row r="561" spans="1:7" ht="18" customHeight="1" x14ac:dyDescent="0.35">
      <c r="A561" s="3"/>
      <c r="B561" s="3"/>
      <c r="C561" s="3"/>
      <c r="D561" s="3"/>
      <c r="E561" s="3"/>
      <c r="F561" s="3"/>
      <c r="G561" s="3"/>
    </row>
    <row r="562" spans="1:7" ht="18" customHeight="1" x14ac:dyDescent="0.35">
      <c r="A562" s="3"/>
      <c r="B562" s="3"/>
      <c r="C562" s="3"/>
      <c r="D562" s="3"/>
      <c r="E562" s="3"/>
      <c r="F562" s="3"/>
      <c r="G562" s="3"/>
    </row>
    <row r="563" spans="1:7" ht="18" customHeight="1" x14ac:dyDescent="0.35">
      <c r="A563" s="3"/>
      <c r="B563" s="3"/>
      <c r="C563" s="3"/>
      <c r="D563" s="3"/>
      <c r="E563" s="3"/>
      <c r="F563" s="3"/>
      <c r="G563" s="3"/>
    </row>
    <row r="564" spans="1:7" ht="18" customHeight="1" x14ac:dyDescent="0.35">
      <c r="A564" s="3"/>
      <c r="B564" s="3"/>
      <c r="C564" s="3"/>
      <c r="D564" s="3"/>
      <c r="E564" s="3"/>
      <c r="F564" s="3"/>
      <c r="G564" s="3"/>
    </row>
    <row r="565" spans="1:7" ht="18" customHeight="1" x14ac:dyDescent="0.35">
      <c r="A565" s="3"/>
      <c r="B565" s="3"/>
      <c r="C565" s="3"/>
      <c r="D565" s="3"/>
      <c r="E565" s="3"/>
      <c r="F565" s="3"/>
      <c r="G565" s="3"/>
    </row>
    <row r="566" spans="1:7" ht="18" customHeight="1" x14ac:dyDescent="0.35">
      <c r="A566" s="3"/>
      <c r="B566" s="3"/>
      <c r="C566" s="3"/>
      <c r="D566" s="3"/>
      <c r="E566" s="3"/>
      <c r="F566" s="3"/>
      <c r="G566" s="3"/>
    </row>
    <row r="567" spans="1:7" ht="18" customHeight="1" x14ac:dyDescent="0.35">
      <c r="A567" s="3"/>
      <c r="B567" s="3"/>
      <c r="C567" s="3"/>
      <c r="D567" s="3"/>
      <c r="E567" s="3"/>
      <c r="F567" s="3"/>
      <c r="G567" s="3"/>
    </row>
    <row r="568" spans="1:7" ht="18" customHeight="1" x14ac:dyDescent="0.35">
      <c r="A568" s="3"/>
      <c r="B568" s="3"/>
      <c r="C568" s="3"/>
      <c r="D568" s="3"/>
      <c r="E568" s="3"/>
      <c r="F568" s="3"/>
      <c r="G568" s="3"/>
    </row>
    <row r="569" spans="1:7" ht="18" customHeight="1" x14ac:dyDescent="0.35">
      <c r="A569" s="3"/>
      <c r="B569" s="3"/>
      <c r="C569" s="3"/>
      <c r="D569" s="3"/>
      <c r="E569" s="3"/>
      <c r="F569" s="3"/>
      <c r="G569" s="3"/>
    </row>
    <row r="570" spans="1:7" ht="18" customHeight="1" x14ac:dyDescent="0.35">
      <c r="A570" s="3"/>
      <c r="B570" s="3"/>
      <c r="C570" s="3"/>
      <c r="D570" s="3"/>
      <c r="E570" s="3"/>
      <c r="F570" s="3"/>
      <c r="G570" s="3"/>
    </row>
    <row r="571" spans="1:7" ht="18" customHeight="1" x14ac:dyDescent="0.35">
      <c r="A571" s="3"/>
      <c r="B571" s="3"/>
      <c r="C571" s="3"/>
      <c r="D571" s="3"/>
      <c r="E571" s="3"/>
      <c r="F571" s="3"/>
      <c r="G571" s="3"/>
    </row>
    <row r="572" spans="1:7" ht="18" customHeight="1" x14ac:dyDescent="0.35">
      <c r="A572" s="3"/>
      <c r="B572" s="3"/>
      <c r="C572" s="3"/>
      <c r="D572" s="3"/>
      <c r="E572" s="3"/>
      <c r="F572" s="3"/>
      <c r="G572" s="3"/>
    </row>
    <row r="573" spans="1:7" ht="18" customHeight="1" x14ac:dyDescent="0.35">
      <c r="A573" s="3"/>
      <c r="B573" s="3"/>
      <c r="C573" s="3"/>
      <c r="D573" s="3"/>
      <c r="E573" s="3"/>
      <c r="F573" s="3"/>
      <c r="G573" s="3"/>
    </row>
    <row r="574" spans="1:7" ht="18" customHeight="1" x14ac:dyDescent="0.35">
      <c r="A574" s="3"/>
      <c r="B574" s="3"/>
      <c r="C574" s="3"/>
      <c r="D574" s="3"/>
      <c r="E574" s="3"/>
      <c r="F574" s="3"/>
      <c r="G574" s="3"/>
    </row>
    <row r="575" spans="1:7" ht="18" customHeight="1" x14ac:dyDescent="0.35">
      <c r="A575" s="3"/>
      <c r="B575" s="3"/>
      <c r="C575" s="3"/>
      <c r="D575" s="3"/>
      <c r="E575" s="3"/>
      <c r="F575" s="3"/>
      <c r="G575" s="3"/>
    </row>
    <row r="576" spans="1:7" ht="18" customHeight="1" x14ac:dyDescent="0.35">
      <c r="A576" s="3"/>
      <c r="B576" s="3"/>
      <c r="C576" s="3"/>
      <c r="D576" s="3"/>
      <c r="E576" s="3"/>
      <c r="F576" s="3"/>
      <c r="G576" s="3"/>
    </row>
    <row r="577" spans="1:7" ht="18" customHeight="1" x14ac:dyDescent="0.35">
      <c r="A577" s="3"/>
      <c r="B577" s="3"/>
      <c r="C577" s="3"/>
      <c r="D577" s="3"/>
      <c r="E577" s="3"/>
      <c r="F577" s="3"/>
      <c r="G577" s="3"/>
    </row>
    <row r="578" spans="1:7" ht="18" customHeight="1" x14ac:dyDescent="0.35">
      <c r="A578" s="3"/>
      <c r="B578" s="3"/>
      <c r="C578" s="3"/>
      <c r="D578" s="3"/>
      <c r="E578" s="3"/>
      <c r="F578" s="3"/>
      <c r="G578" s="3"/>
    </row>
    <row r="579" spans="1:7" ht="18" customHeight="1" x14ac:dyDescent="0.35">
      <c r="A579" s="3"/>
      <c r="B579" s="3"/>
      <c r="C579" s="3"/>
      <c r="D579" s="3"/>
      <c r="E579" s="3"/>
      <c r="F579" s="3"/>
      <c r="G579" s="3"/>
    </row>
    <row r="580" spans="1:7" ht="18" customHeight="1" x14ac:dyDescent="0.35">
      <c r="A580" s="3"/>
      <c r="B580" s="3"/>
      <c r="C580" s="3"/>
      <c r="D580" s="3"/>
      <c r="E580" s="3"/>
      <c r="F580" s="3"/>
      <c r="G580" s="3"/>
    </row>
    <row r="581" spans="1:7" ht="18" customHeight="1" x14ac:dyDescent="0.35">
      <c r="A581" s="3"/>
      <c r="B581" s="3"/>
      <c r="C581" s="3"/>
      <c r="D581" s="3"/>
      <c r="E581" s="3"/>
      <c r="F581" s="3"/>
      <c r="G581" s="3"/>
    </row>
    <row r="582" spans="1:7" ht="18" customHeight="1" x14ac:dyDescent="0.35">
      <c r="A582" s="3"/>
      <c r="B582" s="3"/>
      <c r="C582" s="3"/>
      <c r="D582" s="3"/>
      <c r="E582" s="3"/>
      <c r="F582" s="3"/>
      <c r="G582" s="3"/>
    </row>
    <row r="583" spans="1:7" ht="18" customHeight="1" x14ac:dyDescent="0.35">
      <c r="A583" s="3"/>
      <c r="B583" s="3"/>
      <c r="C583" s="3"/>
      <c r="D583" s="3"/>
      <c r="E583" s="3"/>
      <c r="F583" s="3"/>
      <c r="G583" s="3"/>
    </row>
    <row r="584" spans="1:7" ht="18" customHeight="1" x14ac:dyDescent="0.35">
      <c r="A584" s="3"/>
      <c r="B584" s="3"/>
      <c r="C584" s="3"/>
      <c r="D584" s="3"/>
      <c r="E584" s="3"/>
      <c r="F584" s="3"/>
      <c r="G584" s="3"/>
    </row>
    <row r="585" spans="1:7" ht="18" customHeight="1" x14ac:dyDescent="0.35">
      <c r="A585" s="3"/>
      <c r="B585" s="3"/>
      <c r="C585" s="3"/>
      <c r="D585" s="3"/>
      <c r="E585" s="3"/>
      <c r="F585" s="3"/>
      <c r="G585" s="3"/>
    </row>
    <row r="586" spans="1:7" ht="18" customHeight="1" x14ac:dyDescent="0.35">
      <c r="A586" s="3"/>
      <c r="B586" s="3"/>
      <c r="C586" s="3"/>
      <c r="D586" s="3"/>
      <c r="E586" s="3"/>
      <c r="F586" s="3"/>
      <c r="G586" s="3"/>
    </row>
    <row r="587" spans="1:7" ht="18" customHeight="1" x14ac:dyDescent="0.35">
      <c r="A587" s="3"/>
      <c r="B587" s="3"/>
      <c r="C587" s="3"/>
      <c r="D587" s="3"/>
      <c r="E587" s="3"/>
      <c r="F587" s="3"/>
      <c r="G587" s="3"/>
    </row>
    <row r="588" spans="1:7" ht="18" customHeight="1" x14ac:dyDescent="0.35">
      <c r="A588" s="3"/>
      <c r="B588" s="3"/>
      <c r="C588" s="3"/>
      <c r="D588" s="3"/>
      <c r="E588" s="3"/>
      <c r="F588" s="3"/>
      <c r="G588" s="3"/>
    </row>
    <row r="589" spans="1:7" ht="18" customHeight="1" x14ac:dyDescent="0.35">
      <c r="A589" s="3"/>
      <c r="B589" s="3"/>
      <c r="C589" s="3"/>
      <c r="D589" s="3"/>
      <c r="E589" s="3"/>
      <c r="F589" s="3"/>
      <c r="G589" s="3"/>
    </row>
    <row r="590" spans="1:7" ht="18" customHeight="1" x14ac:dyDescent="0.35">
      <c r="A590" s="3"/>
      <c r="B590" s="3"/>
      <c r="C590" s="3"/>
      <c r="D590" s="3"/>
      <c r="E590" s="3"/>
      <c r="F590" s="3"/>
      <c r="G590" s="3"/>
    </row>
    <row r="591" spans="1:7" ht="18" customHeight="1" x14ac:dyDescent="0.35">
      <c r="A591" s="3"/>
      <c r="B591" s="3"/>
      <c r="C591" s="3"/>
      <c r="D591" s="3"/>
      <c r="E591" s="3"/>
      <c r="F591" s="3"/>
      <c r="G591" s="3"/>
    </row>
    <row r="592" spans="1:7" ht="18" customHeight="1" x14ac:dyDescent="0.35">
      <c r="A592" s="3"/>
      <c r="B592" s="3"/>
      <c r="C592" s="3"/>
      <c r="D592" s="3"/>
      <c r="E592" s="3"/>
      <c r="F592" s="3"/>
      <c r="G592" s="3"/>
    </row>
    <row r="593" spans="1:7" ht="18" customHeight="1" x14ac:dyDescent="0.35">
      <c r="A593" s="3"/>
      <c r="B593" s="3"/>
      <c r="C593" s="3"/>
      <c r="D593" s="3"/>
      <c r="E593" s="3"/>
      <c r="F593" s="3"/>
      <c r="G593" s="3"/>
    </row>
    <row r="594" spans="1:7" ht="18" customHeight="1" x14ac:dyDescent="0.35">
      <c r="A594" s="3"/>
      <c r="B594" s="3"/>
      <c r="C594" s="3"/>
      <c r="D594" s="3"/>
      <c r="E594" s="3"/>
      <c r="F594" s="3"/>
      <c r="G594" s="3"/>
    </row>
    <row r="595" spans="1:7" ht="18" customHeight="1" x14ac:dyDescent="0.35">
      <c r="A595" s="3"/>
      <c r="B595" s="3"/>
      <c r="C595" s="3"/>
      <c r="D595" s="3"/>
      <c r="E595" s="3"/>
      <c r="F595" s="3"/>
      <c r="G595" s="3"/>
    </row>
    <row r="596" spans="1:7" ht="18" customHeight="1" x14ac:dyDescent="0.35">
      <c r="A596" s="3"/>
      <c r="B596" s="3"/>
      <c r="C596" s="3"/>
      <c r="D596" s="3"/>
      <c r="E596" s="3"/>
      <c r="F596" s="3"/>
      <c r="G596" s="3"/>
    </row>
    <row r="597" spans="1:7" ht="18" customHeight="1" x14ac:dyDescent="0.35">
      <c r="A597" s="3"/>
      <c r="B597" s="3"/>
      <c r="C597" s="3"/>
      <c r="D597" s="3"/>
      <c r="E597" s="3"/>
      <c r="F597" s="3"/>
      <c r="G597" s="3"/>
    </row>
    <row r="598" spans="1:7" ht="18" customHeight="1" x14ac:dyDescent="0.35">
      <c r="A598" s="3"/>
      <c r="B598" s="3"/>
      <c r="C598" s="3"/>
      <c r="D598" s="3"/>
      <c r="E598" s="3"/>
      <c r="F598" s="3"/>
      <c r="G598" s="3"/>
    </row>
    <row r="599" spans="1:7" ht="18" customHeight="1" x14ac:dyDescent="0.35">
      <c r="A599" s="3"/>
      <c r="B599" s="3"/>
      <c r="C599" s="3"/>
      <c r="D599" s="3"/>
      <c r="E599" s="3"/>
      <c r="F599" s="3"/>
      <c r="G599" s="3"/>
    </row>
    <row r="600" spans="1:7" ht="18" customHeight="1" x14ac:dyDescent="0.35">
      <c r="A600" s="3"/>
      <c r="B600" s="3"/>
      <c r="C600" s="3"/>
      <c r="D600" s="3"/>
      <c r="E600" s="3"/>
      <c r="F600" s="3"/>
      <c r="G600" s="3"/>
    </row>
    <row r="601" spans="1:7" ht="18" customHeight="1" x14ac:dyDescent="0.35">
      <c r="A601" s="3"/>
      <c r="B601" s="3"/>
      <c r="C601" s="3"/>
      <c r="D601" s="3"/>
      <c r="E601" s="3"/>
      <c r="F601" s="3"/>
      <c r="G601" s="3"/>
    </row>
    <row r="602" spans="1:7" ht="18" customHeight="1" x14ac:dyDescent="0.35">
      <c r="A602" s="3"/>
      <c r="B602" s="3"/>
      <c r="C602" s="3"/>
      <c r="D602" s="3"/>
      <c r="E602" s="3"/>
      <c r="F602" s="3"/>
      <c r="G602" s="3"/>
    </row>
    <row r="603" spans="1:7" ht="18" customHeight="1" x14ac:dyDescent="0.35">
      <c r="A603" s="3"/>
      <c r="B603" s="3"/>
      <c r="C603" s="3"/>
      <c r="D603" s="3"/>
      <c r="E603" s="3"/>
      <c r="F603" s="3"/>
      <c r="G603" s="3"/>
    </row>
    <row r="604" spans="1:7" ht="18" customHeight="1" x14ac:dyDescent="0.35">
      <c r="A604" s="3"/>
      <c r="B604" s="3"/>
      <c r="C604" s="3"/>
      <c r="D604" s="3"/>
      <c r="E604" s="3"/>
      <c r="F604" s="3"/>
      <c r="G604" s="3"/>
    </row>
    <row r="605" spans="1:7" ht="18" customHeight="1" x14ac:dyDescent="0.35">
      <c r="A605" s="3"/>
      <c r="B605" s="3"/>
      <c r="C605" s="3"/>
      <c r="D605" s="3"/>
      <c r="E605" s="3"/>
      <c r="F605" s="3"/>
      <c r="G605" s="3"/>
    </row>
    <row r="606" spans="1:7" ht="18" customHeight="1" x14ac:dyDescent="0.35">
      <c r="A606" s="3"/>
      <c r="B606" s="3"/>
      <c r="C606" s="3"/>
      <c r="D606" s="3"/>
      <c r="E606" s="3"/>
      <c r="F606" s="3"/>
      <c r="G606" s="3"/>
    </row>
    <row r="607" spans="1:7" ht="18" customHeight="1" x14ac:dyDescent="0.35">
      <c r="A607" s="3"/>
      <c r="B607" s="3"/>
      <c r="C607" s="3"/>
      <c r="D607" s="3"/>
      <c r="E607" s="3"/>
      <c r="F607" s="3"/>
      <c r="G607" s="3"/>
    </row>
    <row r="608" spans="1:7" ht="18" customHeight="1" x14ac:dyDescent="0.35">
      <c r="A608" s="3"/>
      <c r="B608" s="3"/>
      <c r="C608" s="3"/>
      <c r="D608" s="3"/>
      <c r="E608" s="3"/>
      <c r="F608" s="3"/>
      <c r="G608" s="3"/>
    </row>
    <row r="609" spans="1:7" ht="18" customHeight="1" x14ac:dyDescent="0.35">
      <c r="A609" s="3"/>
      <c r="B609" s="3"/>
      <c r="C609" s="3"/>
      <c r="D609" s="3"/>
      <c r="E609" s="3"/>
      <c r="F609" s="3"/>
      <c r="G609" s="3"/>
    </row>
    <row r="610" spans="1:7" ht="18" customHeight="1" x14ac:dyDescent="0.35">
      <c r="A610" s="3"/>
      <c r="B610" s="3"/>
      <c r="C610" s="3"/>
      <c r="D610" s="3"/>
      <c r="E610" s="3"/>
      <c r="F610" s="3"/>
      <c r="G610" s="3"/>
    </row>
    <row r="611" spans="1:7" ht="18" customHeight="1" x14ac:dyDescent="0.35">
      <c r="A611" s="3"/>
      <c r="B611" s="3"/>
      <c r="C611" s="3"/>
      <c r="D611" s="3"/>
      <c r="E611" s="3"/>
      <c r="F611" s="3"/>
      <c r="G611" s="3"/>
    </row>
    <row r="612" spans="1:7" ht="18" customHeight="1" x14ac:dyDescent="0.35">
      <c r="A612" s="3"/>
      <c r="B612" s="3"/>
      <c r="C612" s="3"/>
      <c r="D612" s="3"/>
      <c r="E612" s="3"/>
      <c r="F612" s="3"/>
      <c r="G612" s="3"/>
    </row>
    <row r="613" spans="1:7" ht="18" customHeight="1" x14ac:dyDescent="0.35">
      <c r="A613" s="3"/>
      <c r="B613" s="3"/>
      <c r="C613" s="3"/>
      <c r="D613" s="3"/>
      <c r="E613" s="3"/>
      <c r="F613" s="3"/>
      <c r="G613" s="3"/>
    </row>
    <row r="614" spans="1:7" ht="18" customHeight="1" x14ac:dyDescent="0.35">
      <c r="A614" s="3"/>
      <c r="B614" s="3"/>
      <c r="C614" s="3"/>
      <c r="D614" s="3"/>
      <c r="E614" s="3"/>
      <c r="F614" s="3"/>
      <c r="G614" s="3"/>
    </row>
    <row r="615" spans="1:7" ht="18" customHeight="1" x14ac:dyDescent="0.35">
      <c r="A615" s="3"/>
      <c r="B615" s="3"/>
      <c r="C615" s="3"/>
      <c r="D615" s="3"/>
      <c r="E615" s="3"/>
      <c r="F615" s="3"/>
      <c r="G615" s="3"/>
    </row>
    <row r="616" spans="1:7" ht="18" customHeight="1" x14ac:dyDescent="0.35">
      <c r="A616" s="3"/>
      <c r="B616" s="3"/>
      <c r="C616" s="3"/>
      <c r="D616" s="3"/>
      <c r="E616" s="3"/>
      <c r="F616" s="3"/>
      <c r="G616" s="3"/>
    </row>
    <row r="617" spans="1:7" ht="18" customHeight="1" x14ac:dyDescent="0.35">
      <c r="A617" s="3"/>
      <c r="B617" s="3"/>
      <c r="C617" s="3"/>
      <c r="D617" s="3"/>
      <c r="E617" s="3"/>
      <c r="F617" s="3"/>
      <c r="G617" s="3"/>
    </row>
    <row r="618" spans="1:7" ht="18" customHeight="1" x14ac:dyDescent="0.35">
      <c r="A618" s="3"/>
      <c r="B618" s="3"/>
      <c r="C618" s="3"/>
      <c r="D618" s="3"/>
      <c r="E618" s="3"/>
      <c r="F618" s="3"/>
      <c r="G618" s="3"/>
    </row>
    <row r="619" spans="1:7" ht="18" customHeight="1" x14ac:dyDescent="0.35">
      <c r="A619" s="3"/>
      <c r="B619" s="3"/>
      <c r="C619" s="3"/>
      <c r="D619" s="3"/>
      <c r="E619" s="3"/>
      <c r="F619" s="3"/>
      <c r="G619" s="3"/>
    </row>
    <row r="620" spans="1:7" ht="18" customHeight="1" x14ac:dyDescent="0.35">
      <c r="A620" s="3"/>
      <c r="B620" s="3"/>
      <c r="C620" s="3"/>
      <c r="D620" s="3"/>
      <c r="E620" s="3"/>
      <c r="F620" s="3"/>
      <c r="G620" s="3"/>
    </row>
    <row r="621" spans="1:7" ht="18" customHeight="1" x14ac:dyDescent="0.35">
      <c r="A621" s="3"/>
      <c r="B621" s="3"/>
      <c r="C621" s="3"/>
      <c r="D621" s="3"/>
      <c r="E621" s="3"/>
      <c r="F621" s="3"/>
      <c r="G621" s="3"/>
    </row>
    <row r="622" spans="1:7" ht="18" customHeight="1" x14ac:dyDescent="0.35">
      <c r="A622" s="3"/>
      <c r="B622" s="3"/>
      <c r="C622" s="3"/>
      <c r="D622" s="3"/>
      <c r="E622" s="3"/>
      <c r="F622" s="3"/>
      <c r="G622" s="3"/>
    </row>
    <row r="623" spans="1:7" ht="18" customHeight="1" x14ac:dyDescent="0.35">
      <c r="A623" s="3"/>
      <c r="B623" s="3"/>
      <c r="C623" s="3"/>
      <c r="D623" s="3"/>
      <c r="E623" s="3"/>
      <c r="F623" s="3"/>
      <c r="G623" s="3"/>
    </row>
    <row r="624" spans="1:7" ht="18" customHeight="1" x14ac:dyDescent="0.35">
      <c r="A624" s="3"/>
      <c r="B624" s="3"/>
      <c r="C624" s="3"/>
      <c r="D624" s="3"/>
      <c r="E624" s="3"/>
      <c r="F624" s="3"/>
      <c r="G624" s="3"/>
    </row>
    <row r="625" spans="1:7" ht="18" customHeight="1" x14ac:dyDescent="0.35">
      <c r="A625" s="3"/>
      <c r="B625" s="3"/>
      <c r="C625" s="3"/>
      <c r="D625" s="3"/>
      <c r="E625" s="3"/>
      <c r="F625" s="3"/>
      <c r="G625" s="3"/>
    </row>
    <row r="626" spans="1:7" ht="18" customHeight="1" x14ac:dyDescent="0.35">
      <c r="A626" s="3"/>
      <c r="B626" s="3"/>
      <c r="C626" s="3"/>
      <c r="D626" s="3"/>
      <c r="E626" s="3"/>
      <c r="F626" s="3"/>
      <c r="G626" s="3"/>
    </row>
    <row r="627" spans="1:7" ht="18" customHeight="1" x14ac:dyDescent="0.35">
      <c r="A627" s="3"/>
      <c r="B627" s="3"/>
      <c r="C627" s="3"/>
      <c r="D627" s="3"/>
      <c r="E627" s="3"/>
      <c r="F627" s="3"/>
      <c r="G627" s="3"/>
    </row>
    <row r="628" spans="1:7" ht="18" customHeight="1" x14ac:dyDescent="0.35">
      <c r="A628" s="3"/>
      <c r="B628" s="3"/>
      <c r="C628" s="3"/>
      <c r="D628" s="3"/>
      <c r="E628" s="3"/>
      <c r="F628" s="3"/>
      <c r="G628" s="3"/>
    </row>
    <row r="629" spans="1:7" ht="18" customHeight="1" x14ac:dyDescent="0.35">
      <c r="A629" s="3"/>
      <c r="B629" s="3"/>
      <c r="C629" s="3"/>
      <c r="D629" s="3"/>
      <c r="E629" s="3"/>
      <c r="F629" s="3"/>
      <c r="G629" s="3"/>
    </row>
    <row r="630" spans="1:7" ht="18" customHeight="1" x14ac:dyDescent="0.35">
      <c r="A630" s="3"/>
      <c r="B630" s="3"/>
      <c r="C630" s="3"/>
      <c r="D630" s="3"/>
      <c r="E630" s="3"/>
      <c r="F630" s="3"/>
      <c r="G630" s="3"/>
    </row>
    <row r="631" spans="1:7" ht="18" customHeight="1" x14ac:dyDescent="0.35">
      <c r="A631" s="3"/>
      <c r="B631" s="3"/>
      <c r="C631" s="3"/>
      <c r="D631" s="3"/>
      <c r="E631" s="3"/>
      <c r="F631" s="3"/>
      <c r="G631" s="3"/>
    </row>
    <row r="632" spans="1:7" ht="18" customHeight="1" x14ac:dyDescent="0.35">
      <c r="A632" s="3"/>
      <c r="B632" s="3"/>
      <c r="C632" s="3"/>
      <c r="D632" s="3"/>
      <c r="E632" s="3"/>
      <c r="F632" s="3"/>
      <c r="G632" s="3"/>
    </row>
    <row r="633" spans="1:7" ht="18" customHeight="1" x14ac:dyDescent="0.35">
      <c r="A633" s="3"/>
      <c r="B633" s="3"/>
      <c r="C633" s="3"/>
      <c r="D633" s="3"/>
      <c r="E633" s="3"/>
      <c r="F633" s="3"/>
      <c r="G633" s="3"/>
    </row>
    <row r="634" spans="1:7" ht="18" customHeight="1" x14ac:dyDescent="0.35">
      <c r="A634" s="3"/>
      <c r="B634" s="3"/>
      <c r="C634" s="3"/>
      <c r="D634" s="3"/>
      <c r="E634" s="3"/>
      <c r="F634" s="3"/>
      <c r="G634" s="3"/>
    </row>
    <row r="635" spans="1:7" ht="18" customHeight="1" x14ac:dyDescent="0.35">
      <c r="A635" s="3"/>
      <c r="B635" s="3"/>
      <c r="C635" s="3"/>
      <c r="D635" s="3"/>
      <c r="E635" s="3"/>
      <c r="F635" s="3"/>
      <c r="G635" s="3"/>
    </row>
    <row r="636" spans="1:7" ht="18" customHeight="1" x14ac:dyDescent="0.35">
      <c r="A636" s="3"/>
      <c r="B636" s="3"/>
      <c r="C636" s="3"/>
      <c r="D636" s="3"/>
      <c r="E636" s="3"/>
      <c r="F636" s="3"/>
      <c r="G636" s="3"/>
    </row>
    <row r="637" spans="1:7" ht="18" customHeight="1" x14ac:dyDescent="0.35">
      <c r="A637" s="3"/>
      <c r="B637" s="3"/>
      <c r="C637" s="3"/>
      <c r="D637" s="3"/>
      <c r="E637" s="3"/>
      <c r="F637" s="3"/>
      <c r="G637" s="3"/>
    </row>
    <row r="638" spans="1:7" ht="18" customHeight="1" x14ac:dyDescent="0.35">
      <c r="A638" s="3"/>
      <c r="B638" s="3"/>
      <c r="C638" s="3"/>
      <c r="D638" s="3"/>
      <c r="E638" s="3"/>
      <c r="F638" s="3"/>
      <c r="G638" s="3"/>
    </row>
    <row r="639" spans="1:7" ht="18" customHeight="1" x14ac:dyDescent="0.35">
      <c r="A639" s="3"/>
      <c r="B639" s="3"/>
      <c r="C639" s="3"/>
      <c r="D639" s="3"/>
      <c r="E639" s="3"/>
      <c r="F639" s="3"/>
      <c r="G639" s="3"/>
    </row>
    <row r="640" spans="1:7" ht="18" customHeight="1" x14ac:dyDescent="0.35">
      <c r="A640" s="3"/>
      <c r="B640" s="3"/>
      <c r="C640" s="3"/>
      <c r="D640" s="3"/>
      <c r="E640" s="3"/>
      <c r="F640" s="3"/>
      <c r="G640" s="3"/>
    </row>
    <row r="641" spans="1:7" ht="18" customHeight="1" x14ac:dyDescent="0.35">
      <c r="A641" s="3"/>
      <c r="B641" s="3"/>
      <c r="C641" s="3"/>
      <c r="D641" s="3"/>
      <c r="E641" s="3"/>
      <c r="F641" s="3"/>
      <c r="G641" s="3"/>
    </row>
    <row r="642" spans="1:7" ht="18" customHeight="1" x14ac:dyDescent="0.35">
      <c r="A642" s="3"/>
      <c r="B642" s="3"/>
      <c r="C642" s="3"/>
      <c r="D642" s="3"/>
      <c r="E642" s="3"/>
      <c r="F642" s="3"/>
      <c r="G642" s="3"/>
    </row>
    <row r="643" spans="1:7" ht="18" customHeight="1" x14ac:dyDescent="0.35">
      <c r="A643" s="3"/>
      <c r="B643" s="3"/>
      <c r="C643" s="3"/>
      <c r="D643" s="3"/>
      <c r="E643" s="3"/>
      <c r="F643" s="3"/>
      <c r="G643" s="3"/>
    </row>
    <row r="644" spans="1:7" ht="18" customHeight="1" x14ac:dyDescent="0.35">
      <c r="A644" s="3"/>
      <c r="B644" s="3"/>
      <c r="C644" s="3"/>
      <c r="D644" s="3"/>
      <c r="E644" s="3"/>
      <c r="F644" s="3"/>
      <c r="G644" s="3"/>
    </row>
    <row r="645" spans="1:7" ht="18" customHeight="1" x14ac:dyDescent="0.35">
      <c r="A645" s="3"/>
      <c r="B645" s="3"/>
      <c r="C645" s="3"/>
      <c r="D645" s="3"/>
      <c r="E645" s="3"/>
      <c r="F645" s="3"/>
      <c r="G645" s="3"/>
    </row>
    <row r="646" spans="1:7" ht="18" customHeight="1" x14ac:dyDescent="0.35">
      <c r="A646" s="3"/>
      <c r="B646" s="3"/>
      <c r="C646" s="3"/>
      <c r="D646" s="3"/>
      <c r="E646" s="3"/>
      <c r="F646" s="3"/>
      <c r="G646" s="3"/>
    </row>
    <row r="647" spans="1:7" ht="18" customHeight="1" x14ac:dyDescent="0.35">
      <c r="A647" s="3"/>
      <c r="B647" s="3"/>
      <c r="C647" s="3"/>
      <c r="D647" s="3"/>
      <c r="E647" s="3"/>
      <c r="F647" s="3"/>
      <c r="G647" s="3"/>
    </row>
    <row r="648" spans="1:7" ht="18" customHeight="1" x14ac:dyDescent="0.35">
      <c r="A648" s="3"/>
      <c r="B648" s="3"/>
      <c r="C648" s="3"/>
      <c r="D648" s="3"/>
      <c r="E648" s="3"/>
      <c r="F648" s="3"/>
      <c r="G648" s="3"/>
    </row>
    <row r="649" spans="1:7" ht="18" customHeight="1" x14ac:dyDescent="0.35">
      <c r="A649" s="3"/>
      <c r="B649" s="3"/>
      <c r="C649" s="3"/>
      <c r="D649" s="3"/>
      <c r="E649" s="3"/>
      <c r="F649" s="3"/>
      <c r="G649" s="3"/>
    </row>
    <row r="650" spans="1:7" ht="18" customHeight="1" x14ac:dyDescent="0.35">
      <c r="A650" s="3"/>
      <c r="B650" s="3"/>
      <c r="C650" s="3"/>
      <c r="D650" s="3"/>
      <c r="E650" s="3"/>
      <c r="F650" s="3"/>
      <c r="G650" s="3"/>
    </row>
    <row r="651" spans="1:7" ht="18" customHeight="1" x14ac:dyDescent="0.35">
      <c r="A651" s="3"/>
      <c r="B651" s="3"/>
      <c r="C651" s="3"/>
      <c r="D651" s="3"/>
      <c r="E651" s="3"/>
      <c r="F651" s="3"/>
      <c r="G651" s="3"/>
    </row>
    <row r="652" spans="1:7" ht="18" customHeight="1" x14ac:dyDescent="0.35">
      <c r="A652" s="3"/>
      <c r="B652" s="3"/>
      <c r="C652" s="3"/>
      <c r="D652" s="3"/>
      <c r="E652" s="3"/>
      <c r="F652" s="3"/>
      <c r="G652" s="3"/>
    </row>
    <row r="653" spans="1:7" ht="18" customHeight="1" x14ac:dyDescent="0.35">
      <c r="A653" s="3"/>
      <c r="B653" s="3"/>
      <c r="C653" s="3"/>
      <c r="D653" s="3"/>
      <c r="E653" s="3"/>
      <c r="F653" s="3"/>
      <c r="G653" s="3"/>
    </row>
    <row r="654" spans="1:7" ht="18" customHeight="1" x14ac:dyDescent="0.35">
      <c r="A654" s="3"/>
      <c r="B654" s="3"/>
      <c r="C654" s="3"/>
      <c r="D654" s="3"/>
      <c r="E654" s="3"/>
      <c r="F654" s="3"/>
      <c r="G654" s="3"/>
    </row>
    <row r="655" spans="1:7" ht="18" customHeight="1" x14ac:dyDescent="0.35">
      <c r="A655" s="3"/>
      <c r="B655" s="3"/>
      <c r="C655" s="3"/>
      <c r="D655" s="3"/>
      <c r="E655" s="3"/>
      <c r="F655" s="3"/>
      <c r="G655" s="3"/>
    </row>
    <row r="656" spans="1:7" ht="18" customHeight="1" x14ac:dyDescent="0.35">
      <c r="A656" s="3"/>
      <c r="B656" s="3"/>
      <c r="C656" s="3"/>
      <c r="D656" s="3"/>
      <c r="E656" s="3"/>
      <c r="F656" s="3"/>
      <c r="G656" s="3"/>
    </row>
    <row r="657" spans="1:7" ht="18" customHeight="1" x14ac:dyDescent="0.35">
      <c r="A657" s="3"/>
      <c r="B657" s="3"/>
      <c r="C657" s="3"/>
      <c r="D657" s="3"/>
      <c r="E657" s="3"/>
      <c r="F657" s="3"/>
      <c r="G657" s="3"/>
    </row>
    <row r="658" spans="1:7" ht="18" customHeight="1" x14ac:dyDescent="0.35">
      <c r="A658" s="3"/>
      <c r="B658" s="3"/>
      <c r="C658" s="3"/>
      <c r="D658" s="3"/>
      <c r="E658" s="3"/>
      <c r="F658" s="3"/>
      <c r="G658" s="3"/>
    </row>
    <row r="659" spans="1:7" ht="18" customHeight="1" x14ac:dyDescent="0.35">
      <c r="A659" s="3"/>
      <c r="B659" s="3"/>
      <c r="C659" s="3"/>
      <c r="D659" s="3"/>
      <c r="E659" s="3"/>
      <c r="F659" s="3"/>
      <c r="G659" s="3"/>
    </row>
    <row r="660" spans="1:7" ht="18" customHeight="1" x14ac:dyDescent="0.35">
      <c r="A660" s="3"/>
      <c r="B660" s="3"/>
      <c r="C660" s="3"/>
      <c r="D660" s="3"/>
      <c r="E660" s="3"/>
      <c r="F660" s="3"/>
      <c r="G660" s="3"/>
    </row>
    <row r="661" spans="1:7" ht="18" customHeight="1" x14ac:dyDescent="0.35">
      <c r="A661" s="3"/>
      <c r="B661" s="3"/>
      <c r="C661" s="3"/>
      <c r="D661" s="3"/>
      <c r="E661" s="3"/>
      <c r="F661" s="3"/>
      <c r="G661" s="3"/>
    </row>
    <row r="662" spans="1:7" ht="18" customHeight="1" x14ac:dyDescent="0.35">
      <c r="A662" s="3"/>
      <c r="B662" s="3"/>
      <c r="C662" s="3"/>
      <c r="D662" s="3"/>
      <c r="E662" s="3"/>
      <c r="F662" s="3"/>
      <c r="G662" s="3"/>
    </row>
    <row r="663" spans="1:7" ht="18" customHeight="1" x14ac:dyDescent="0.35">
      <c r="A663" s="3"/>
      <c r="B663" s="3"/>
      <c r="C663" s="3"/>
      <c r="D663" s="3"/>
      <c r="E663" s="3"/>
      <c r="F663" s="3"/>
      <c r="G663" s="3"/>
    </row>
    <row r="664" spans="1:7" ht="18" customHeight="1" x14ac:dyDescent="0.35">
      <c r="A664" s="3"/>
      <c r="B664" s="3"/>
      <c r="C664" s="3"/>
      <c r="D664" s="3"/>
      <c r="E664" s="3"/>
      <c r="F664" s="3"/>
      <c r="G664" s="3"/>
    </row>
    <row r="665" spans="1:7" ht="18" customHeight="1" x14ac:dyDescent="0.35">
      <c r="A665" s="3"/>
      <c r="B665" s="3"/>
      <c r="C665" s="3"/>
      <c r="D665" s="3"/>
      <c r="E665" s="3"/>
      <c r="F665" s="3"/>
      <c r="G665" s="3"/>
    </row>
    <row r="666" spans="1:7" ht="18" customHeight="1" x14ac:dyDescent="0.35">
      <c r="A666" s="3"/>
      <c r="B666" s="3"/>
      <c r="C666" s="3"/>
      <c r="D666" s="3"/>
      <c r="E666" s="3"/>
      <c r="F666" s="3"/>
      <c r="G666" s="3"/>
    </row>
    <row r="667" spans="1:7" ht="18" customHeight="1" x14ac:dyDescent="0.35">
      <c r="A667" s="3"/>
      <c r="B667" s="3"/>
      <c r="C667" s="3"/>
      <c r="D667" s="3"/>
      <c r="E667" s="3"/>
      <c r="F667" s="3"/>
      <c r="G667" s="3"/>
    </row>
    <row r="668" spans="1:7" ht="18" customHeight="1" x14ac:dyDescent="0.35">
      <c r="A668" s="3"/>
      <c r="B668" s="3"/>
      <c r="C668" s="3"/>
      <c r="D668" s="3"/>
      <c r="E668" s="3"/>
      <c r="F668" s="3"/>
      <c r="G668" s="3"/>
    </row>
    <row r="669" spans="1:7" ht="18" customHeight="1" x14ac:dyDescent="0.35">
      <c r="A669" s="3"/>
      <c r="B669" s="3"/>
      <c r="C669" s="3"/>
      <c r="D669" s="3"/>
      <c r="E669" s="3"/>
      <c r="F669" s="3"/>
      <c r="G669" s="3"/>
    </row>
    <row r="670" spans="1:7" ht="18" customHeight="1" x14ac:dyDescent="0.35">
      <c r="A670" s="3"/>
      <c r="B670" s="3"/>
      <c r="C670" s="3"/>
      <c r="D670" s="3"/>
      <c r="E670" s="3"/>
      <c r="F670" s="3"/>
      <c r="G670" s="3"/>
    </row>
    <row r="671" spans="1:7" ht="18" customHeight="1" x14ac:dyDescent="0.35">
      <c r="A671" s="3"/>
      <c r="B671" s="3"/>
      <c r="C671" s="3"/>
      <c r="D671" s="3"/>
      <c r="E671" s="3"/>
      <c r="F671" s="3"/>
      <c r="G671" s="3"/>
    </row>
    <row r="672" spans="1:7" ht="18" customHeight="1" x14ac:dyDescent="0.35">
      <c r="A672" s="3"/>
      <c r="B672" s="3"/>
      <c r="C672" s="3"/>
      <c r="D672" s="3"/>
      <c r="E672" s="3"/>
      <c r="F672" s="3"/>
      <c r="G672" s="3"/>
    </row>
    <row r="673" spans="1:7" ht="18" customHeight="1" x14ac:dyDescent="0.35">
      <c r="A673" s="3"/>
      <c r="B673" s="3"/>
      <c r="C673" s="3"/>
      <c r="D673" s="3"/>
      <c r="E673" s="3"/>
      <c r="F673" s="3"/>
      <c r="G673" s="3"/>
    </row>
    <row r="674" spans="1:7" ht="18" customHeight="1" x14ac:dyDescent="0.35">
      <c r="A674" s="3"/>
      <c r="B674" s="3"/>
      <c r="C674" s="3"/>
      <c r="D674" s="3"/>
      <c r="E674" s="3"/>
      <c r="F674" s="3"/>
      <c r="G674" s="3"/>
    </row>
    <row r="675" spans="1:7" ht="18" customHeight="1" x14ac:dyDescent="0.35">
      <c r="A675" s="3"/>
      <c r="B675" s="3"/>
      <c r="C675" s="3"/>
      <c r="D675" s="3"/>
      <c r="E675" s="3"/>
      <c r="F675" s="3"/>
      <c r="G675" s="3"/>
    </row>
    <row r="676" spans="1:7" ht="18" customHeight="1" x14ac:dyDescent="0.35">
      <c r="A676" s="3"/>
      <c r="B676" s="3"/>
      <c r="C676" s="3"/>
      <c r="D676" s="3"/>
      <c r="E676" s="3"/>
      <c r="F676" s="3"/>
      <c r="G676" s="3"/>
    </row>
    <row r="677" spans="1:7" ht="18" customHeight="1" x14ac:dyDescent="0.35">
      <c r="A677" s="3"/>
      <c r="B677" s="3"/>
      <c r="C677" s="3"/>
      <c r="D677" s="3"/>
      <c r="E677" s="3"/>
      <c r="F677" s="3"/>
      <c r="G677" s="3"/>
    </row>
    <row r="678" spans="1:7" ht="18" customHeight="1" x14ac:dyDescent="0.35">
      <c r="A678" s="3"/>
      <c r="B678" s="3"/>
      <c r="C678" s="3"/>
      <c r="D678" s="3"/>
      <c r="E678" s="3"/>
      <c r="F678" s="3"/>
      <c r="G678" s="3"/>
    </row>
    <row r="679" spans="1:7" ht="18" customHeight="1" x14ac:dyDescent="0.35">
      <c r="A679" s="3"/>
      <c r="B679" s="3"/>
      <c r="C679" s="3"/>
      <c r="D679" s="3"/>
      <c r="E679" s="3"/>
      <c r="F679" s="3"/>
      <c r="G679" s="3"/>
    </row>
    <row r="680" spans="1:7" ht="18" customHeight="1" x14ac:dyDescent="0.35">
      <c r="A680" s="3"/>
      <c r="B680" s="3"/>
      <c r="C680" s="3"/>
      <c r="D680" s="3"/>
      <c r="E680" s="3"/>
      <c r="F680" s="3"/>
      <c r="G680" s="3"/>
    </row>
    <row r="681" spans="1:7" ht="18" customHeight="1" x14ac:dyDescent="0.35">
      <c r="A681" s="3"/>
      <c r="B681" s="3"/>
      <c r="C681" s="3"/>
      <c r="D681" s="3"/>
      <c r="E681" s="3"/>
      <c r="F681" s="3"/>
      <c r="G681" s="3"/>
    </row>
    <row r="682" spans="1:7" ht="18" customHeight="1" x14ac:dyDescent="0.35">
      <c r="A682" s="3"/>
      <c r="B682" s="3"/>
      <c r="C682" s="3"/>
      <c r="D682" s="3"/>
      <c r="E682" s="3"/>
      <c r="F682" s="3"/>
      <c r="G682" s="3"/>
    </row>
    <row r="683" spans="1:7" ht="18" customHeight="1" x14ac:dyDescent="0.35">
      <c r="A683" s="3"/>
      <c r="B683" s="3"/>
      <c r="C683" s="3"/>
      <c r="D683" s="3"/>
      <c r="E683" s="3"/>
      <c r="F683" s="3"/>
      <c r="G683" s="3"/>
    </row>
    <row r="684" spans="1:7" ht="18" customHeight="1" x14ac:dyDescent="0.35">
      <c r="A684" s="3"/>
      <c r="B684" s="3"/>
      <c r="C684" s="3"/>
      <c r="D684" s="3"/>
      <c r="E684" s="3"/>
      <c r="F684" s="3"/>
      <c r="G684" s="3"/>
    </row>
    <row r="685" spans="1:7" ht="18" customHeight="1" x14ac:dyDescent="0.35">
      <c r="A685" s="3"/>
      <c r="B685" s="3"/>
      <c r="C685" s="3"/>
      <c r="D685" s="3"/>
      <c r="E685" s="3"/>
      <c r="F685" s="3"/>
      <c r="G685" s="3"/>
    </row>
    <row r="686" spans="1:7" ht="18" customHeight="1" x14ac:dyDescent="0.35">
      <c r="A686" s="3"/>
      <c r="B686" s="3"/>
      <c r="C686" s="3"/>
      <c r="D686" s="3"/>
      <c r="E686" s="3"/>
      <c r="F686" s="3"/>
      <c r="G686" s="3"/>
    </row>
    <row r="687" spans="1:7" ht="18" customHeight="1" x14ac:dyDescent="0.35">
      <c r="A687" s="3"/>
      <c r="B687" s="3"/>
      <c r="C687" s="3"/>
      <c r="D687" s="3"/>
      <c r="E687" s="3"/>
      <c r="F687" s="3"/>
      <c r="G687" s="3"/>
    </row>
    <row r="688" spans="1:7" ht="18" customHeight="1" x14ac:dyDescent="0.35">
      <c r="A688" s="3"/>
      <c r="B688" s="3"/>
      <c r="C688" s="3"/>
      <c r="D688" s="3"/>
      <c r="E688" s="3"/>
      <c r="F688" s="3"/>
      <c r="G688" s="3"/>
    </row>
    <row r="689" spans="1:7" ht="18" customHeight="1" x14ac:dyDescent="0.35">
      <c r="A689" s="3"/>
      <c r="B689" s="3"/>
      <c r="C689" s="3"/>
      <c r="D689" s="3"/>
      <c r="E689" s="3"/>
      <c r="F689" s="3"/>
      <c r="G689" s="3"/>
    </row>
    <row r="690" spans="1:7" ht="18" customHeight="1" x14ac:dyDescent="0.35">
      <c r="A690" s="3"/>
      <c r="B690" s="3"/>
      <c r="C690" s="3"/>
      <c r="D690" s="3"/>
      <c r="E690" s="3"/>
      <c r="F690" s="3"/>
      <c r="G690" s="3"/>
    </row>
    <row r="691" spans="1:7" ht="18" customHeight="1" x14ac:dyDescent="0.35">
      <c r="A691" s="3"/>
      <c r="B691" s="3"/>
      <c r="C691" s="3"/>
      <c r="D691" s="3"/>
      <c r="E691" s="3"/>
      <c r="F691" s="3"/>
      <c r="G691" s="3"/>
    </row>
    <row r="692" spans="1:7" ht="18" customHeight="1" x14ac:dyDescent="0.35">
      <c r="A692" s="3"/>
      <c r="B692" s="3"/>
      <c r="C692" s="3"/>
      <c r="D692" s="3"/>
      <c r="E692" s="3"/>
      <c r="F692" s="3"/>
      <c r="G692" s="3"/>
    </row>
    <row r="693" spans="1:7" ht="18" customHeight="1" x14ac:dyDescent="0.35">
      <c r="A693" s="3"/>
      <c r="B693" s="3"/>
      <c r="C693" s="3"/>
      <c r="D693" s="3"/>
      <c r="E693" s="3"/>
      <c r="F693" s="3"/>
      <c r="G693" s="3"/>
    </row>
    <row r="694" spans="1:7" ht="18" customHeight="1" x14ac:dyDescent="0.35">
      <c r="A694" s="3"/>
      <c r="B694" s="3"/>
      <c r="C694" s="3"/>
      <c r="D694" s="3"/>
      <c r="E694" s="3"/>
      <c r="F694" s="3"/>
      <c r="G694" s="3"/>
    </row>
    <row r="695" spans="1:7" ht="18" customHeight="1" x14ac:dyDescent="0.35">
      <c r="A695" s="3"/>
      <c r="B695" s="3"/>
      <c r="C695" s="3"/>
      <c r="D695" s="3"/>
      <c r="E695" s="3"/>
      <c r="F695" s="3"/>
      <c r="G695" s="3"/>
    </row>
    <row r="696" spans="1:7" ht="18" customHeight="1" x14ac:dyDescent="0.35">
      <c r="A696" s="3"/>
      <c r="B696" s="3"/>
      <c r="C696" s="3"/>
      <c r="D696" s="3"/>
      <c r="E696" s="3"/>
      <c r="F696" s="3"/>
      <c r="G696" s="3"/>
    </row>
    <row r="697" spans="1:7" ht="18" customHeight="1" x14ac:dyDescent="0.35">
      <c r="A697" s="3"/>
      <c r="B697" s="3"/>
      <c r="C697" s="3"/>
      <c r="D697" s="3"/>
      <c r="E697" s="3"/>
      <c r="F697" s="3"/>
      <c r="G697" s="3"/>
    </row>
    <row r="698" spans="1:7" ht="18" customHeight="1" x14ac:dyDescent="0.35">
      <c r="A698" s="3"/>
      <c r="B698" s="3"/>
      <c r="C698" s="3"/>
      <c r="D698" s="3"/>
      <c r="E698" s="3"/>
      <c r="F698" s="3"/>
      <c r="G698" s="3"/>
    </row>
    <row r="699" spans="1:7" ht="18" customHeight="1" x14ac:dyDescent="0.35">
      <c r="A699" s="3"/>
      <c r="B699" s="3"/>
      <c r="C699" s="3"/>
      <c r="D699" s="3"/>
      <c r="E699" s="3"/>
      <c r="F699" s="3"/>
      <c r="G699" s="3"/>
    </row>
    <row r="700" spans="1:7" ht="18" customHeight="1" x14ac:dyDescent="0.35">
      <c r="A700" s="3"/>
      <c r="B700" s="3"/>
      <c r="C700" s="3"/>
      <c r="D700" s="3"/>
      <c r="E700" s="3"/>
      <c r="F700" s="3"/>
      <c r="G700" s="3"/>
    </row>
    <row r="701" spans="1:7" ht="18" customHeight="1" x14ac:dyDescent="0.35">
      <c r="A701" s="3"/>
      <c r="B701" s="3"/>
      <c r="C701" s="3"/>
      <c r="D701" s="3"/>
      <c r="E701" s="3"/>
      <c r="F701" s="3"/>
      <c r="G701" s="3"/>
    </row>
    <row r="702" spans="1:7" ht="18" customHeight="1" x14ac:dyDescent="0.35">
      <c r="A702" s="3"/>
      <c r="B702" s="3"/>
      <c r="C702" s="3"/>
      <c r="D702" s="3"/>
      <c r="E702" s="3"/>
      <c r="F702" s="3"/>
      <c r="G702" s="3"/>
    </row>
    <row r="703" spans="1:7" ht="18" customHeight="1" x14ac:dyDescent="0.35">
      <c r="A703" s="3"/>
      <c r="B703" s="3"/>
      <c r="C703" s="3"/>
      <c r="D703" s="3"/>
      <c r="E703" s="3"/>
      <c r="F703" s="3"/>
      <c r="G703" s="3"/>
    </row>
    <row r="704" spans="1:7" ht="18" customHeight="1" x14ac:dyDescent="0.35">
      <c r="A704" s="3"/>
      <c r="B704" s="3"/>
      <c r="C704" s="3"/>
      <c r="D704" s="3"/>
      <c r="E704" s="3"/>
      <c r="F704" s="3"/>
      <c r="G704" s="3"/>
    </row>
    <row r="705" spans="1:7" ht="18" customHeight="1" x14ac:dyDescent="0.35">
      <c r="A705" s="3"/>
      <c r="B705" s="3"/>
      <c r="C705" s="3"/>
      <c r="D705" s="3"/>
      <c r="E705" s="3"/>
      <c r="F705" s="3"/>
      <c r="G705" s="3"/>
    </row>
    <row r="706" spans="1:7" ht="18" customHeight="1" x14ac:dyDescent="0.35">
      <c r="A706" s="3"/>
      <c r="B706" s="3"/>
      <c r="C706" s="3"/>
      <c r="D706" s="3"/>
      <c r="E706" s="3"/>
      <c r="F706" s="3"/>
      <c r="G706" s="3"/>
    </row>
    <row r="707" spans="1:7" ht="18" customHeight="1" x14ac:dyDescent="0.35">
      <c r="A707" s="3"/>
      <c r="B707" s="3"/>
      <c r="C707" s="3"/>
      <c r="D707" s="3"/>
      <c r="E707" s="3"/>
      <c r="F707" s="3"/>
      <c r="G707" s="3"/>
    </row>
    <row r="708" spans="1:7" ht="18" customHeight="1" x14ac:dyDescent="0.35">
      <c r="A708" s="3"/>
      <c r="B708" s="3"/>
      <c r="C708" s="3"/>
      <c r="D708" s="3"/>
      <c r="E708" s="3"/>
      <c r="F708" s="3"/>
      <c r="G708" s="3"/>
    </row>
    <row r="709" spans="1:7" ht="18" customHeight="1" x14ac:dyDescent="0.35">
      <c r="A709" s="3"/>
      <c r="B709" s="3"/>
      <c r="C709" s="3"/>
      <c r="D709" s="3"/>
      <c r="E709" s="3"/>
      <c r="F709" s="3"/>
      <c r="G709" s="3"/>
    </row>
    <row r="710" spans="1:7" ht="18" customHeight="1" x14ac:dyDescent="0.35">
      <c r="A710" s="3"/>
      <c r="B710" s="3"/>
      <c r="C710" s="3"/>
      <c r="D710" s="3"/>
      <c r="E710" s="3"/>
      <c r="F710" s="3"/>
      <c r="G710" s="3"/>
    </row>
    <row r="711" spans="1:7" ht="18" customHeight="1" x14ac:dyDescent="0.35">
      <c r="A711" s="3"/>
      <c r="B711" s="3"/>
      <c r="C711" s="3"/>
      <c r="D711" s="3"/>
      <c r="E711" s="3"/>
      <c r="F711" s="3"/>
      <c r="G711" s="3"/>
    </row>
    <row r="712" spans="1:7" ht="18" customHeight="1" x14ac:dyDescent="0.35">
      <c r="A712" s="3"/>
      <c r="B712" s="3"/>
      <c r="C712" s="3"/>
      <c r="D712" s="3"/>
      <c r="E712" s="3"/>
      <c r="F712" s="3"/>
      <c r="G712" s="3"/>
    </row>
    <row r="713" spans="1:7" ht="18" customHeight="1" x14ac:dyDescent="0.35">
      <c r="A713" s="3"/>
      <c r="B713" s="3"/>
      <c r="C713" s="3"/>
      <c r="D713" s="3"/>
      <c r="E713" s="3"/>
      <c r="F713" s="3"/>
      <c r="G713" s="3"/>
    </row>
    <row r="714" spans="1:7" ht="18" customHeight="1" x14ac:dyDescent="0.35">
      <c r="A714" s="3"/>
      <c r="B714" s="3"/>
      <c r="C714" s="3"/>
      <c r="D714" s="3"/>
      <c r="E714" s="3"/>
      <c r="F714" s="3"/>
      <c r="G714" s="3"/>
    </row>
    <row r="715" spans="1:7" ht="18" customHeight="1" x14ac:dyDescent="0.35">
      <c r="A715" s="3"/>
      <c r="B715" s="3"/>
      <c r="C715" s="3"/>
      <c r="D715" s="3"/>
      <c r="E715" s="3"/>
      <c r="F715" s="3"/>
      <c r="G715" s="3"/>
    </row>
    <row r="716" spans="1:7" ht="18" customHeight="1" x14ac:dyDescent="0.35">
      <c r="A716" s="3"/>
      <c r="B716" s="3"/>
      <c r="C716" s="3"/>
      <c r="D716" s="3"/>
      <c r="E716" s="3"/>
      <c r="F716" s="3"/>
      <c r="G716" s="3"/>
    </row>
    <row r="717" spans="1:7" ht="18" customHeight="1" x14ac:dyDescent="0.35">
      <c r="A717" s="3"/>
      <c r="B717" s="3"/>
      <c r="C717" s="3"/>
      <c r="D717" s="3"/>
      <c r="E717" s="3"/>
      <c r="F717" s="3"/>
      <c r="G717" s="3"/>
    </row>
    <row r="718" spans="1:7" ht="18" customHeight="1" x14ac:dyDescent="0.35">
      <c r="A718" s="3"/>
      <c r="B718" s="3"/>
      <c r="C718" s="3"/>
      <c r="D718" s="3"/>
      <c r="E718" s="3"/>
      <c r="F718" s="3"/>
      <c r="G718" s="3"/>
    </row>
    <row r="719" spans="1:7" ht="18" customHeight="1" x14ac:dyDescent="0.35">
      <c r="A719" s="3"/>
      <c r="B719" s="3"/>
      <c r="C719" s="3"/>
      <c r="D719" s="3"/>
      <c r="E719" s="3"/>
      <c r="F719" s="3"/>
      <c r="G719" s="3"/>
    </row>
    <row r="720" spans="1:7" ht="18" customHeight="1" x14ac:dyDescent="0.35">
      <c r="A720" s="3"/>
      <c r="B720" s="3"/>
      <c r="C720" s="3"/>
      <c r="D720" s="3"/>
      <c r="E720" s="3"/>
      <c r="F720" s="3"/>
      <c r="G720" s="3"/>
    </row>
    <row r="721" spans="1:7" ht="18" customHeight="1" x14ac:dyDescent="0.35">
      <c r="A721" s="3"/>
      <c r="B721" s="3"/>
      <c r="C721" s="3"/>
      <c r="D721" s="3"/>
      <c r="E721" s="3"/>
      <c r="F721" s="3"/>
      <c r="G721" s="3"/>
    </row>
    <row r="722" spans="1:7" ht="18" customHeight="1" x14ac:dyDescent="0.35">
      <c r="A722" s="3"/>
      <c r="B722" s="3"/>
      <c r="C722" s="3"/>
      <c r="D722" s="3"/>
      <c r="E722" s="3"/>
      <c r="F722" s="3"/>
      <c r="G722" s="3"/>
    </row>
    <row r="723" spans="1:7" ht="18" customHeight="1" x14ac:dyDescent="0.35">
      <c r="A723" s="3"/>
      <c r="B723" s="3"/>
      <c r="C723" s="3"/>
      <c r="D723" s="3"/>
      <c r="E723" s="3"/>
      <c r="F723" s="3"/>
      <c r="G723" s="3"/>
    </row>
    <row r="724" spans="1:7" ht="18" customHeight="1" x14ac:dyDescent="0.35">
      <c r="A724" s="3"/>
      <c r="B724" s="3"/>
      <c r="C724" s="3"/>
      <c r="D724" s="3"/>
      <c r="E724" s="3"/>
      <c r="F724" s="3"/>
      <c r="G724" s="3"/>
    </row>
    <row r="725" spans="1:7" ht="18" customHeight="1" x14ac:dyDescent="0.35">
      <c r="A725" s="3"/>
      <c r="B725" s="3"/>
      <c r="C725" s="3"/>
      <c r="D725" s="3"/>
      <c r="E725" s="3"/>
      <c r="F725" s="3"/>
      <c r="G725" s="3"/>
    </row>
    <row r="726" spans="1:7" ht="18" customHeight="1" x14ac:dyDescent="0.35">
      <c r="A726" s="3"/>
      <c r="B726" s="3"/>
      <c r="C726" s="3"/>
      <c r="D726" s="3"/>
      <c r="E726" s="3"/>
      <c r="F726" s="3"/>
      <c r="G726" s="3"/>
    </row>
    <row r="727" spans="1:7" ht="18" customHeight="1" x14ac:dyDescent="0.35">
      <c r="A727" s="3"/>
      <c r="B727" s="3"/>
      <c r="C727" s="3"/>
      <c r="D727" s="3"/>
      <c r="E727" s="3"/>
      <c r="F727" s="3"/>
      <c r="G727" s="3"/>
    </row>
    <row r="728" spans="1:7" ht="18" customHeight="1" x14ac:dyDescent="0.35">
      <c r="A728" s="3"/>
      <c r="B728" s="3"/>
      <c r="C728" s="3"/>
      <c r="D728" s="3"/>
      <c r="E728" s="3"/>
      <c r="F728" s="3"/>
      <c r="G728" s="3"/>
    </row>
    <row r="729" spans="1:7" ht="18" customHeight="1" x14ac:dyDescent="0.35">
      <c r="A729" s="3"/>
      <c r="B729" s="3"/>
      <c r="C729" s="3"/>
      <c r="D729" s="3"/>
      <c r="E729" s="3"/>
      <c r="F729" s="3"/>
      <c r="G729" s="3"/>
    </row>
    <row r="730" spans="1:7" ht="18" customHeight="1" x14ac:dyDescent="0.35">
      <c r="A730" s="3"/>
      <c r="B730" s="3"/>
      <c r="C730" s="3"/>
      <c r="D730" s="3"/>
      <c r="E730" s="3"/>
      <c r="F730" s="3"/>
      <c r="G730" s="3"/>
    </row>
    <row r="731" spans="1:7" ht="18" customHeight="1" x14ac:dyDescent="0.35">
      <c r="A731" s="3"/>
      <c r="B731" s="3"/>
      <c r="C731" s="3"/>
      <c r="D731" s="3"/>
      <c r="E731" s="3"/>
      <c r="F731" s="3"/>
      <c r="G731" s="3"/>
    </row>
    <row r="732" spans="1:7" ht="18" customHeight="1" x14ac:dyDescent="0.35">
      <c r="A732" s="3"/>
      <c r="B732" s="3"/>
      <c r="C732" s="3"/>
      <c r="D732" s="3"/>
      <c r="E732" s="3"/>
      <c r="F732" s="3"/>
      <c r="G732" s="3"/>
    </row>
    <row r="733" spans="1:7" ht="18" customHeight="1" x14ac:dyDescent="0.35">
      <c r="A733" s="3"/>
      <c r="B733" s="3"/>
      <c r="C733" s="3"/>
      <c r="D733" s="3"/>
      <c r="E733" s="3"/>
      <c r="F733" s="3"/>
      <c r="G733" s="3"/>
    </row>
    <row r="734" spans="1:7" ht="18" customHeight="1" x14ac:dyDescent="0.35">
      <c r="A734" s="3"/>
      <c r="B734" s="3"/>
      <c r="C734" s="3"/>
      <c r="D734" s="3"/>
      <c r="E734" s="3"/>
      <c r="F734" s="3"/>
      <c r="G734" s="3"/>
    </row>
    <row r="735" spans="1:7" ht="18" customHeight="1" x14ac:dyDescent="0.35">
      <c r="A735" s="3"/>
      <c r="B735" s="3"/>
      <c r="C735" s="3"/>
      <c r="D735" s="3"/>
      <c r="E735" s="3"/>
      <c r="F735" s="3"/>
      <c r="G735" s="3"/>
    </row>
    <row r="736" spans="1:7" ht="18" customHeight="1" x14ac:dyDescent="0.35">
      <c r="A736" s="3"/>
      <c r="B736" s="3"/>
      <c r="C736" s="3"/>
      <c r="D736" s="3"/>
      <c r="E736" s="3"/>
      <c r="F736" s="3"/>
      <c r="G736" s="3"/>
    </row>
    <row r="737" spans="1:7" ht="18" customHeight="1" x14ac:dyDescent="0.35">
      <c r="A737" s="3"/>
      <c r="B737" s="3"/>
      <c r="C737" s="3"/>
      <c r="D737" s="3"/>
      <c r="E737" s="3"/>
      <c r="F737" s="3"/>
      <c r="G737" s="3"/>
    </row>
    <row r="738" spans="1:7" ht="18" customHeight="1" x14ac:dyDescent="0.35">
      <c r="A738" s="3"/>
      <c r="B738" s="3"/>
      <c r="C738" s="3"/>
      <c r="D738" s="3"/>
      <c r="E738" s="3"/>
      <c r="F738" s="3"/>
      <c r="G738" s="3"/>
    </row>
    <row r="739" spans="1:7" ht="18" customHeight="1" x14ac:dyDescent="0.35">
      <c r="A739" s="3"/>
      <c r="B739" s="3"/>
      <c r="C739" s="3"/>
      <c r="D739" s="3"/>
      <c r="E739" s="3"/>
      <c r="F739" s="3"/>
      <c r="G739" s="3"/>
    </row>
    <row r="740" spans="1:7" ht="18" customHeight="1" x14ac:dyDescent="0.35">
      <c r="A740" s="3"/>
      <c r="B740" s="3"/>
      <c r="C740" s="3"/>
      <c r="D740" s="3"/>
      <c r="E740" s="3"/>
      <c r="F740" s="3"/>
      <c r="G740" s="3"/>
    </row>
    <row r="741" spans="1:7" ht="18" customHeight="1" x14ac:dyDescent="0.35">
      <c r="A741" s="3"/>
      <c r="B741" s="3"/>
      <c r="C741" s="3"/>
      <c r="D741" s="3"/>
      <c r="E741" s="3"/>
      <c r="F741" s="3"/>
      <c r="G741" s="3"/>
    </row>
    <row r="742" spans="1:7" ht="18" customHeight="1" x14ac:dyDescent="0.35">
      <c r="A742" s="3"/>
      <c r="B742" s="3"/>
      <c r="C742" s="3"/>
      <c r="D742" s="3"/>
      <c r="E742" s="3"/>
      <c r="F742" s="3"/>
      <c r="G742" s="3"/>
    </row>
    <row r="743" spans="1:7" ht="18" customHeight="1" x14ac:dyDescent="0.35">
      <c r="A743" s="3"/>
      <c r="B743" s="3"/>
      <c r="C743" s="3"/>
      <c r="D743" s="3"/>
      <c r="E743" s="3"/>
      <c r="F743" s="3"/>
      <c r="G743" s="3"/>
    </row>
    <row r="744" spans="1:7" ht="18" customHeight="1" x14ac:dyDescent="0.35">
      <c r="A744" s="3"/>
      <c r="B744" s="3"/>
      <c r="C744" s="3"/>
      <c r="D744" s="3"/>
      <c r="E744" s="3"/>
      <c r="F744" s="3"/>
      <c r="G744" s="3"/>
    </row>
    <row r="745" spans="1:7" ht="18" customHeight="1" x14ac:dyDescent="0.35">
      <c r="A745" s="3"/>
      <c r="B745" s="3"/>
      <c r="C745" s="3"/>
      <c r="D745" s="3"/>
      <c r="E745" s="3"/>
      <c r="F745" s="3"/>
      <c r="G745" s="3"/>
    </row>
    <row r="746" spans="1:7" ht="18" customHeight="1" x14ac:dyDescent="0.35">
      <c r="A746" s="3"/>
      <c r="B746" s="3"/>
      <c r="C746" s="3"/>
      <c r="D746" s="3"/>
      <c r="E746" s="3"/>
      <c r="F746" s="3"/>
      <c r="G746" s="3"/>
    </row>
    <row r="747" spans="1:7" ht="18" customHeight="1" x14ac:dyDescent="0.35">
      <c r="A747" s="3"/>
      <c r="B747" s="3"/>
      <c r="C747" s="3"/>
      <c r="D747" s="3"/>
      <c r="E747" s="3"/>
      <c r="F747" s="3"/>
      <c r="G747" s="3"/>
    </row>
    <row r="748" spans="1:7" ht="18" customHeight="1" x14ac:dyDescent="0.35">
      <c r="A748" s="3"/>
      <c r="B748" s="3"/>
      <c r="C748" s="3"/>
      <c r="D748" s="3"/>
      <c r="E748" s="3"/>
      <c r="F748" s="3"/>
      <c r="G748" s="3"/>
    </row>
    <row r="749" spans="1:7" ht="18" customHeight="1" x14ac:dyDescent="0.35">
      <c r="A749" s="3"/>
      <c r="B749" s="3"/>
      <c r="C749" s="3"/>
      <c r="D749" s="3"/>
      <c r="E749" s="3"/>
      <c r="F749" s="3"/>
      <c r="G749" s="3"/>
    </row>
    <row r="750" spans="1:7" ht="18" customHeight="1" x14ac:dyDescent="0.35">
      <c r="A750" s="3"/>
      <c r="B750" s="3"/>
      <c r="C750" s="3"/>
      <c r="D750" s="3"/>
      <c r="E750" s="3"/>
      <c r="F750" s="3"/>
      <c r="G750" s="3"/>
    </row>
    <row r="751" spans="1:7" ht="18" customHeight="1" x14ac:dyDescent="0.35">
      <c r="A751" s="3"/>
      <c r="B751" s="3"/>
      <c r="C751" s="3"/>
      <c r="D751" s="3"/>
      <c r="E751" s="3"/>
      <c r="F751" s="3"/>
      <c r="G751" s="3"/>
    </row>
    <row r="752" spans="1:7" ht="18" customHeight="1" x14ac:dyDescent="0.35">
      <c r="A752" s="3"/>
      <c r="B752" s="3"/>
      <c r="C752" s="3"/>
      <c r="D752" s="3"/>
      <c r="E752" s="3"/>
      <c r="F752" s="3"/>
      <c r="G752" s="3"/>
    </row>
    <row r="753" spans="1:7" ht="18" customHeight="1" x14ac:dyDescent="0.35">
      <c r="A753" s="3"/>
      <c r="B753" s="3"/>
      <c r="C753" s="3"/>
      <c r="D753" s="3"/>
      <c r="E753" s="3"/>
      <c r="F753" s="3"/>
      <c r="G753" s="3"/>
    </row>
    <row r="754" spans="1:7" ht="18" customHeight="1" x14ac:dyDescent="0.35">
      <c r="A754" s="3"/>
      <c r="B754" s="3"/>
      <c r="C754" s="3"/>
      <c r="D754" s="3"/>
      <c r="E754" s="3"/>
      <c r="F754" s="3"/>
      <c r="G754" s="3"/>
    </row>
    <row r="755" spans="1:7" ht="18" customHeight="1" x14ac:dyDescent="0.35">
      <c r="A755" s="3"/>
      <c r="B755" s="3"/>
      <c r="C755" s="3"/>
      <c r="D755" s="3"/>
      <c r="E755" s="3"/>
      <c r="F755" s="3"/>
      <c r="G755" s="3"/>
    </row>
    <row r="756" spans="1:7" ht="18" customHeight="1" x14ac:dyDescent="0.35">
      <c r="A756" s="3"/>
      <c r="B756" s="3"/>
      <c r="C756" s="3"/>
      <c r="D756" s="3"/>
      <c r="E756" s="3"/>
      <c r="F756" s="3"/>
      <c r="G756" s="3"/>
    </row>
    <row r="757" spans="1:7" ht="18" customHeight="1" x14ac:dyDescent="0.35">
      <c r="A757" s="3"/>
      <c r="B757" s="3"/>
      <c r="C757" s="3"/>
      <c r="D757" s="3"/>
      <c r="E757" s="3"/>
      <c r="F757" s="3"/>
      <c r="G757" s="3"/>
    </row>
    <row r="758" spans="1:7" ht="18" customHeight="1" x14ac:dyDescent="0.35">
      <c r="A758" s="3"/>
      <c r="B758" s="3"/>
      <c r="C758" s="3"/>
      <c r="D758" s="3"/>
      <c r="E758" s="3"/>
      <c r="F758" s="3"/>
      <c r="G758" s="3"/>
    </row>
    <row r="759" spans="1:7" ht="18" customHeight="1" x14ac:dyDescent="0.35">
      <c r="A759" s="3"/>
      <c r="B759" s="3"/>
      <c r="C759" s="3"/>
      <c r="D759" s="3"/>
      <c r="E759" s="3"/>
      <c r="F759" s="3"/>
      <c r="G759" s="3"/>
    </row>
    <row r="760" spans="1:7" ht="18" customHeight="1" x14ac:dyDescent="0.35">
      <c r="A760" s="3"/>
      <c r="B760" s="3"/>
      <c r="C760" s="3"/>
      <c r="D760" s="3"/>
      <c r="E760" s="3"/>
      <c r="F760" s="3"/>
      <c r="G760" s="3"/>
    </row>
    <row r="761" spans="1:7" ht="18" customHeight="1" x14ac:dyDescent="0.35">
      <c r="A761" s="3"/>
      <c r="B761" s="3"/>
      <c r="C761" s="3"/>
      <c r="D761" s="3"/>
      <c r="E761" s="3"/>
      <c r="F761" s="3"/>
      <c r="G761" s="3"/>
    </row>
    <row r="762" spans="1:7" ht="18" customHeight="1" x14ac:dyDescent="0.35">
      <c r="A762" s="3"/>
      <c r="B762" s="3"/>
      <c r="C762" s="3"/>
      <c r="D762" s="3"/>
      <c r="E762" s="3"/>
      <c r="F762" s="3"/>
      <c r="G762" s="3"/>
    </row>
    <row r="763" spans="1:7" ht="18" customHeight="1" x14ac:dyDescent="0.35">
      <c r="A763" s="3"/>
      <c r="B763" s="3"/>
      <c r="C763" s="3"/>
      <c r="D763" s="3"/>
      <c r="E763" s="3"/>
      <c r="F763" s="3"/>
      <c r="G763" s="3"/>
    </row>
    <row r="764" spans="1:7" ht="18" customHeight="1" x14ac:dyDescent="0.35">
      <c r="A764" s="3"/>
      <c r="B764" s="3"/>
      <c r="C764" s="3"/>
      <c r="D764" s="3"/>
      <c r="E764" s="3"/>
      <c r="F764" s="3"/>
      <c r="G764" s="3"/>
    </row>
    <row r="765" spans="1:7" ht="18" customHeight="1" x14ac:dyDescent="0.35">
      <c r="A765" s="3"/>
      <c r="B765" s="3"/>
      <c r="C765" s="3"/>
      <c r="D765" s="3"/>
      <c r="E765" s="3"/>
      <c r="F765" s="3"/>
      <c r="G765" s="3"/>
    </row>
    <row r="766" spans="1:7" ht="18" customHeight="1" x14ac:dyDescent="0.35">
      <c r="A766" s="3"/>
      <c r="B766" s="3"/>
      <c r="C766" s="3"/>
      <c r="D766" s="3"/>
      <c r="E766" s="3"/>
      <c r="F766" s="3"/>
      <c r="G766" s="3"/>
    </row>
    <row r="767" spans="1:7" ht="18" customHeight="1" x14ac:dyDescent="0.35">
      <c r="A767" s="3"/>
      <c r="B767" s="3"/>
      <c r="C767" s="3"/>
      <c r="D767" s="3"/>
      <c r="E767" s="3"/>
      <c r="F767" s="3"/>
      <c r="G767" s="3"/>
    </row>
    <row r="768" spans="1:7" ht="18" customHeight="1" x14ac:dyDescent="0.35">
      <c r="A768" s="3"/>
      <c r="B768" s="3"/>
      <c r="C768" s="3"/>
      <c r="D768" s="3"/>
      <c r="E768" s="3"/>
      <c r="F768" s="3"/>
      <c r="G768" s="3"/>
    </row>
    <row r="769" spans="1:7" ht="18" customHeight="1" x14ac:dyDescent="0.35">
      <c r="A769" s="3"/>
      <c r="B769" s="3"/>
      <c r="C769" s="3"/>
      <c r="D769" s="3"/>
      <c r="E769" s="3"/>
      <c r="F769" s="3"/>
      <c r="G769" s="3"/>
    </row>
    <row r="770" spans="1:7" ht="18" customHeight="1" x14ac:dyDescent="0.35">
      <c r="A770" s="3"/>
      <c r="B770" s="3"/>
      <c r="C770" s="3"/>
      <c r="D770" s="3"/>
      <c r="E770" s="3"/>
      <c r="F770" s="3"/>
      <c r="G770" s="3"/>
    </row>
    <row r="771" spans="1:7" ht="18" customHeight="1" x14ac:dyDescent="0.35">
      <c r="A771" s="3"/>
      <c r="B771" s="3"/>
      <c r="C771" s="3"/>
      <c r="D771" s="3"/>
      <c r="E771" s="3"/>
      <c r="F771" s="3"/>
      <c r="G771" s="3"/>
    </row>
    <row r="772" spans="1:7" ht="18" customHeight="1" x14ac:dyDescent="0.35">
      <c r="A772" s="3"/>
      <c r="B772" s="3"/>
      <c r="C772" s="3"/>
      <c r="D772" s="3"/>
      <c r="E772" s="3"/>
      <c r="F772" s="3"/>
      <c r="G772" s="3"/>
    </row>
    <row r="773" spans="1:7" ht="18" customHeight="1" x14ac:dyDescent="0.35">
      <c r="A773" s="3"/>
      <c r="B773" s="3"/>
      <c r="C773" s="3"/>
      <c r="D773" s="3"/>
      <c r="E773" s="3"/>
      <c r="F773" s="3"/>
      <c r="G773" s="3"/>
    </row>
    <row r="774" spans="1:7" ht="18" customHeight="1" x14ac:dyDescent="0.35">
      <c r="A774" s="3"/>
      <c r="B774" s="3"/>
      <c r="C774" s="3"/>
      <c r="D774" s="3"/>
      <c r="E774" s="3"/>
      <c r="F774" s="3"/>
      <c r="G774" s="3"/>
    </row>
    <row r="775" spans="1:7" ht="18" customHeight="1" x14ac:dyDescent="0.35">
      <c r="A775" s="3"/>
      <c r="B775" s="3"/>
      <c r="C775" s="3"/>
      <c r="D775" s="3"/>
      <c r="E775" s="3"/>
      <c r="F775" s="3"/>
      <c r="G775" s="3"/>
    </row>
    <row r="776" spans="1:7" ht="18" customHeight="1" x14ac:dyDescent="0.35">
      <c r="A776" s="3"/>
      <c r="B776" s="3"/>
      <c r="C776" s="3"/>
      <c r="D776" s="3"/>
      <c r="E776" s="3"/>
      <c r="F776" s="3"/>
      <c r="G776" s="3"/>
    </row>
    <row r="777" spans="1:7" ht="18" customHeight="1" x14ac:dyDescent="0.35">
      <c r="A777" s="3"/>
      <c r="B777" s="3"/>
      <c r="C777" s="3"/>
      <c r="D777" s="3"/>
      <c r="E777" s="3"/>
      <c r="F777" s="3"/>
      <c r="G777" s="3"/>
    </row>
    <row r="778" spans="1:7" ht="18" customHeight="1" x14ac:dyDescent="0.35">
      <c r="A778" s="3"/>
      <c r="B778" s="3"/>
      <c r="C778" s="3"/>
      <c r="D778" s="3"/>
      <c r="E778" s="3"/>
      <c r="F778" s="3"/>
      <c r="G778" s="3"/>
    </row>
    <row r="779" spans="1:7" ht="18" customHeight="1" x14ac:dyDescent="0.35">
      <c r="A779" s="3"/>
      <c r="B779" s="3"/>
      <c r="C779" s="3"/>
      <c r="D779" s="3"/>
      <c r="E779" s="3"/>
      <c r="F779" s="3"/>
      <c r="G779" s="3"/>
    </row>
    <row r="780" spans="1:7" ht="18" customHeight="1" x14ac:dyDescent="0.35">
      <c r="A780" s="3"/>
      <c r="B780" s="3"/>
      <c r="C780" s="3"/>
      <c r="D780" s="3"/>
      <c r="E780" s="3"/>
      <c r="F780" s="3"/>
      <c r="G780" s="3"/>
    </row>
    <row r="781" spans="1:7" ht="18" customHeight="1" x14ac:dyDescent="0.35">
      <c r="A781" s="3"/>
      <c r="B781" s="3"/>
      <c r="C781" s="3"/>
      <c r="D781" s="3"/>
      <c r="E781" s="3"/>
      <c r="F781" s="3"/>
      <c r="G781" s="3"/>
    </row>
    <row r="782" spans="1:7" ht="18" customHeight="1" x14ac:dyDescent="0.35">
      <c r="A782" s="3"/>
      <c r="B782" s="3"/>
      <c r="C782" s="3"/>
      <c r="D782" s="3"/>
      <c r="E782" s="3"/>
      <c r="F782" s="3"/>
      <c r="G782" s="3"/>
    </row>
    <row r="783" spans="1:7" ht="18" customHeight="1" x14ac:dyDescent="0.35">
      <c r="A783" s="3"/>
      <c r="B783" s="3"/>
      <c r="C783" s="3"/>
      <c r="D783" s="3"/>
      <c r="E783" s="3"/>
      <c r="F783" s="3"/>
      <c r="G783" s="3"/>
    </row>
    <row r="784" spans="1:7" ht="18" customHeight="1" x14ac:dyDescent="0.35">
      <c r="A784" s="3"/>
      <c r="B784" s="3"/>
      <c r="C784" s="3"/>
      <c r="D784" s="3"/>
      <c r="E784" s="3"/>
      <c r="F784" s="3"/>
      <c r="G784" s="3"/>
    </row>
    <row r="785" spans="1:7" ht="18" customHeight="1" x14ac:dyDescent="0.35">
      <c r="A785" s="3"/>
      <c r="B785" s="3"/>
      <c r="C785" s="3"/>
      <c r="D785" s="3"/>
      <c r="E785" s="3"/>
      <c r="F785" s="3"/>
      <c r="G785" s="3"/>
    </row>
    <row r="786" spans="1:7" ht="18" customHeight="1" x14ac:dyDescent="0.35">
      <c r="A786" s="3"/>
      <c r="B786" s="3"/>
      <c r="C786" s="3"/>
      <c r="D786" s="3"/>
      <c r="E786" s="3"/>
      <c r="F786" s="3"/>
      <c r="G786" s="3"/>
    </row>
    <row r="787" spans="1:7" ht="18" customHeight="1" x14ac:dyDescent="0.35">
      <c r="A787" s="3"/>
      <c r="B787" s="3"/>
      <c r="C787" s="3"/>
      <c r="D787" s="3"/>
      <c r="E787" s="3"/>
      <c r="F787" s="3"/>
      <c r="G787" s="3"/>
    </row>
    <row r="788" spans="1:7" ht="18" customHeight="1" x14ac:dyDescent="0.35">
      <c r="A788" s="3"/>
      <c r="B788" s="3"/>
      <c r="C788" s="3"/>
      <c r="D788" s="3"/>
      <c r="E788" s="3"/>
      <c r="F788" s="3"/>
      <c r="G788" s="3"/>
    </row>
    <row r="789" spans="1:7" ht="18" customHeight="1" x14ac:dyDescent="0.35">
      <c r="A789" s="3"/>
      <c r="B789" s="3"/>
      <c r="C789" s="3"/>
      <c r="D789" s="3"/>
      <c r="E789" s="3"/>
      <c r="F789" s="3"/>
      <c r="G789" s="3"/>
    </row>
    <row r="790" spans="1:7" ht="18" customHeight="1" x14ac:dyDescent="0.35">
      <c r="A790" s="3"/>
      <c r="B790" s="3"/>
      <c r="C790" s="3"/>
      <c r="D790" s="3"/>
      <c r="E790" s="3"/>
      <c r="F790" s="3"/>
      <c r="G790" s="3"/>
    </row>
    <row r="791" spans="1:7" ht="18" customHeight="1" x14ac:dyDescent="0.35">
      <c r="A791" s="3"/>
      <c r="B791" s="3"/>
      <c r="C791" s="3"/>
      <c r="D791" s="3"/>
      <c r="E791" s="3"/>
      <c r="F791" s="3"/>
      <c r="G791" s="3"/>
    </row>
    <row r="792" spans="1:7" ht="18" customHeight="1" x14ac:dyDescent="0.35">
      <c r="A792" s="3"/>
      <c r="B792" s="3"/>
      <c r="C792" s="3"/>
      <c r="D792" s="3"/>
      <c r="E792" s="3"/>
      <c r="F792" s="3"/>
      <c r="G792" s="3"/>
    </row>
    <row r="793" spans="1:7" ht="18" customHeight="1" x14ac:dyDescent="0.35">
      <c r="A793" s="3"/>
      <c r="B793" s="3"/>
      <c r="C793" s="3"/>
      <c r="D793" s="3"/>
      <c r="E793" s="3"/>
      <c r="F793" s="3"/>
      <c r="G793" s="3"/>
    </row>
    <row r="794" spans="1:7" ht="18" customHeight="1" x14ac:dyDescent="0.35">
      <c r="A794" s="3"/>
      <c r="B794" s="3"/>
      <c r="C794" s="3"/>
      <c r="D794" s="3"/>
      <c r="E794" s="3"/>
      <c r="F794" s="3"/>
      <c r="G794" s="3"/>
    </row>
    <row r="795" spans="1:7" ht="18" customHeight="1" x14ac:dyDescent="0.35">
      <c r="A795" s="3"/>
      <c r="B795" s="3"/>
      <c r="C795" s="3"/>
      <c r="D795" s="3"/>
      <c r="E795" s="3"/>
      <c r="F795" s="3"/>
      <c r="G795" s="3"/>
    </row>
    <row r="796" spans="1:7" ht="18" customHeight="1" x14ac:dyDescent="0.35">
      <c r="A796" s="3"/>
      <c r="B796" s="3"/>
      <c r="C796" s="3"/>
      <c r="D796" s="3"/>
      <c r="E796" s="3"/>
      <c r="F796" s="3"/>
      <c r="G796" s="3"/>
    </row>
    <row r="797" spans="1:7" ht="18" customHeight="1" x14ac:dyDescent="0.35">
      <c r="A797" s="3"/>
      <c r="B797" s="3"/>
      <c r="C797" s="3"/>
      <c r="D797" s="3"/>
      <c r="E797" s="3"/>
      <c r="F797" s="3"/>
      <c r="G797" s="3"/>
    </row>
    <row r="798" spans="1:7" ht="18" customHeight="1" x14ac:dyDescent="0.35">
      <c r="A798" s="3"/>
      <c r="B798" s="3"/>
      <c r="C798" s="3"/>
      <c r="D798" s="3"/>
      <c r="E798" s="3"/>
      <c r="F798" s="3"/>
      <c r="G798" s="3"/>
    </row>
    <row r="799" spans="1:7" ht="18" customHeight="1" x14ac:dyDescent="0.35">
      <c r="A799" s="3"/>
      <c r="B799" s="3"/>
      <c r="C799" s="3"/>
      <c r="D799" s="3"/>
      <c r="E799" s="3"/>
      <c r="F799" s="3"/>
      <c r="G799" s="3"/>
    </row>
    <row r="800" spans="1:7" ht="18" customHeight="1" x14ac:dyDescent="0.35">
      <c r="A800" s="3"/>
      <c r="B800" s="3"/>
      <c r="C800" s="3"/>
      <c r="D800" s="3"/>
      <c r="E800" s="3"/>
      <c r="F800" s="3"/>
      <c r="G800" s="3"/>
    </row>
    <row r="801" spans="1:7" ht="18" customHeight="1" x14ac:dyDescent="0.35">
      <c r="A801" s="3"/>
      <c r="B801" s="3"/>
      <c r="C801" s="3"/>
      <c r="D801" s="3"/>
      <c r="E801" s="3"/>
      <c r="F801" s="3"/>
      <c r="G801" s="3"/>
    </row>
    <row r="802" spans="1:7" ht="18" customHeight="1" x14ac:dyDescent="0.35">
      <c r="A802" s="3"/>
      <c r="B802" s="3"/>
      <c r="C802" s="3"/>
      <c r="D802" s="3"/>
      <c r="E802" s="3"/>
      <c r="F802" s="3"/>
      <c r="G802" s="3"/>
    </row>
    <row r="803" spans="1:7" ht="18" customHeight="1" x14ac:dyDescent="0.35">
      <c r="A803" s="3"/>
      <c r="B803" s="3"/>
      <c r="C803" s="3"/>
      <c r="D803" s="3"/>
      <c r="E803" s="3"/>
      <c r="F803" s="3"/>
      <c r="G803" s="3"/>
    </row>
    <row r="804" spans="1:7" ht="18" customHeight="1" x14ac:dyDescent="0.35">
      <c r="A804" s="3"/>
      <c r="B804" s="3"/>
      <c r="C804" s="3"/>
      <c r="D804" s="3"/>
      <c r="E804" s="3"/>
      <c r="F804" s="3"/>
      <c r="G804" s="3"/>
    </row>
    <row r="805" spans="1:7" ht="18" customHeight="1" x14ac:dyDescent="0.35">
      <c r="A805" s="3"/>
      <c r="B805" s="3"/>
      <c r="C805" s="3"/>
      <c r="D805" s="3"/>
      <c r="E805" s="3"/>
      <c r="F805" s="3"/>
      <c r="G805" s="3"/>
    </row>
    <row r="806" spans="1:7" ht="18" customHeight="1" x14ac:dyDescent="0.35">
      <c r="A806" s="3"/>
      <c r="B806" s="3"/>
      <c r="C806" s="3"/>
      <c r="D806" s="3"/>
      <c r="E806" s="3"/>
      <c r="F806" s="3"/>
      <c r="G806" s="3"/>
    </row>
    <row r="807" spans="1:7" ht="18" customHeight="1" x14ac:dyDescent="0.35">
      <c r="A807" s="3"/>
      <c r="B807" s="3"/>
      <c r="C807" s="3"/>
      <c r="D807" s="3"/>
      <c r="E807" s="3"/>
      <c r="F807" s="3"/>
      <c r="G807" s="3"/>
    </row>
    <row r="808" spans="1:7" ht="18" customHeight="1" x14ac:dyDescent="0.35">
      <c r="A808" s="3"/>
      <c r="B808" s="3"/>
      <c r="C808" s="3"/>
      <c r="D808" s="3"/>
      <c r="E808" s="3"/>
      <c r="F808" s="3"/>
      <c r="G808" s="3"/>
    </row>
    <row r="809" spans="1:7" ht="18" customHeight="1" x14ac:dyDescent="0.35">
      <c r="A809" s="3"/>
      <c r="B809" s="3"/>
      <c r="C809" s="3"/>
      <c r="D809" s="3"/>
      <c r="E809" s="3"/>
      <c r="F809" s="3"/>
      <c r="G809" s="3"/>
    </row>
    <row r="810" spans="1:7" ht="18" customHeight="1" x14ac:dyDescent="0.35">
      <c r="A810" s="3"/>
      <c r="B810" s="3"/>
      <c r="C810" s="3"/>
      <c r="D810" s="3"/>
      <c r="E810" s="3"/>
      <c r="F810" s="3"/>
      <c r="G810" s="3"/>
    </row>
    <row r="811" spans="1:7" ht="18" customHeight="1" x14ac:dyDescent="0.35">
      <c r="A811" s="3"/>
      <c r="B811" s="3"/>
      <c r="C811" s="3"/>
      <c r="D811" s="3"/>
      <c r="E811" s="3"/>
      <c r="F811" s="3"/>
      <c r="G811" s="3"/>
    </row>
    <row r="812" spans="1:7" ht="18" customHeight="1" x14ac:dyDescent="0.35">
      <c r="A812" s="3"/>
      <c r="B812" s="3"/>
      <c r="C812" s="3"/>
      <c r="D812" s="3"/>
      <c r="E812" s="3"/>
      <c r="F812" s="3"/>
      <c r="G812" s="3"/>
    </row>
    <row r="813" spans="1:7" ht="18" customHeight="1" x14ac:dyDescent="0.35">
      <c r="A813" s="3"/>
      <c r="B813" s="3"/>
      <c r="C813" s="3"/>
      <c r="D813" s="3"/>
      <c r="E813" s="3"/>
      <c r="F813" s="3"/>
      <c r="G813" s="3"/>
    </row>
    <row r="814" spans="1:7" ht="18" customHeight="1" x14ac:dyDescent="0.35">
      <c r="A814" s="3"/>
      <c r="B814" s="3"/>
      <c r="C814" s="3"/>
      <c r="D814" s="3"/>
      <c r="E814" s="3"/>
      <c r="F814" s="3"/>
      <c r="G814" s="3"/>
    </row>
    <row r="815" spans="1:7" ht="18" customHeight="1" x14ac:dyDescent="0.35">
      <c r="A815" s="3"/>
      <c r="B815" s="3"/>
      <c r="C815" s="3"/>
      <c r="D815" s="3"/>
      <c r="E815" s="3"/>
      <c r="F815" s="3"/>
      <c r="G815" s="3"/>
    </row>
    <row r="816" spans="1:7" ht="18" customHeight="1" x14ac:dyDescent="0.35">
      <c r="A816" s="3"/>
      <c r="B816" s="3"/>
      <c r="C816" s="3"/>
      <c r="D816" s="3"/>
      <c r="E816" s="3"/>
      <c r="F816" s="3"/>
      <c r="G816" s="3"/>
    </row>
    <row r="817" spans="1:7" ht="18" customHeight="1" x14ac:dyDescent="0.35">
      <c r="A817" s="3"/>
      <c r="B817" s="3"/>
      <c r="C817" s="3"/>
      <c r="D817" s="3"/>
      <c r="E817" s="3"/>
      <c r="F817" s="3"/>
      <c r="G817" s="3"/>
    </row>
    <row r="818" spans="1:7" ht="18" customHeight="1" x14ac:dyDescent="0.35">
      <c r="A818" s="3"/>
      <c r="B818" s="3"/>
      <c r="C818" s="3"/>
      <c r="D818" s="3"/>
      <c r="E818" s="3"/>
      <c r="F818" s="3"/>
      <c r="G818" s="3"/>
    </row>
    <row r="819" spans="1:7" ht="18" customHeight="1" x14ac:dyDescent="0.35">
      <c r="A819" s="3"/>
      <c r="B819" s="3"/>
      <c r="C819" s="3"/>
      <c r="D819" s="3"/>
      <c r="E819" s="3"/>
      <c r="F819" s="3"/>
      <c r="G819" s="3"/>
    </row>
    <row r="820" spans="1:7" ht="18" customHeight="1" x14ac:dyDescent="0.35">
      <c r="A820" s="3"/>
      <c r="B820" s="3"/>
      <c r="C820" s="3"/>
      <c r="D820" s="3"/>
      <c r="E820" s="3"/>
      <c r="F820" s="3"/>
      <c r="G820" s="3"/>
    </row>
    <row r="821" spans="1:7" ht="18" customHeight="1" x14ac:dyDescent="0.35">
      <c r="A821" s="3"/>
      <c r="B821" s="3"/>
      <c r="C821" s="3"/>
      <c r="D821" s="3"/>
      <c r="E821" s="3"/>
      <c r="F821" s="3"/>
      <c r="G821" s="3"/>
    </row>
    <row r="822" spans="1:7" ht="18" customHeight="1" x14ac:dyDescent="0.35">
      <c r="A822" s="3"/>
      <c r="B822" s="3"/>
      <c r="C822" s="3"/>
      <c r="D822" s="3"/>
      <c r="E822" s="3"/>
      <c r="F822" s="3"/>
      <c r="G822" s="3"/>
    </row>
    <row r="823" spans="1:7" ht="18" customHeight="1" x14ac:dyDescent="0.35">
      <c r="A823" s="3"/>
      <c r="B823" s="3"/>
      <c r="C823" s="3"/>
      <c r="D823" s="3"/>
      <c r="E823" s="3"/>
      <c r="F823" s="3"/>
      <c r="G823" s="3"/>
    </row>
    <row r="824" spans="1:7" ht="18" customHeight="1" x14ac:dyDescent="0.35">
      <c r="A824" s="3"/>
      <c r="B824" s="3"/>
      <c r="C824" s="3"/>
      <c r="D824" s="3"/>
      <c r="E824" s="3"/>
      <c r="F824" s="3"/>
      <c r="G824" s="3"/>
    </row>
    <row r="825" spans="1:7" ht="18" customHeight="1" x14ac:dyDescent="0.35">
      <c r="A825" s="3"/>
      <c r="B825" s="3"/>
      <c r="C825" s="3"/>
      <c r="D825" s="3"/>
      <c r="E825" s="3"/>
      <c r="F825" s="3"/>
      <c r="G825" s="3"/>
    </row>
    <row r="826" spans="1:7" ht="18" customHeight="1" x14ac:dyDescent="0.35">
      <c r="A826" s="3"/>
      <c r="B826" s="3"/>
      <c r="C826" s="3"/>
      <c r="D826" s="3"/>
      <c r="E826" s="3"/>
      <c r="F826" s="3"/>
      <c r="G826" s="3"/>
    </row>
    <row r="827" spans="1:7" ht="18" customHeight="1" x14ac:dyDescent="0.35">
      <c r="A827" s="3"/>
      <c r="B827" s="3"/>
      <c r="C827" s="3"/>
      <c r="D827" s="3"/>
      <c r="E827" s="3"/>
      <c r="F827" s="3"/>
      <c r="G827" s="3"/>
    </row>
    <row r="828" spans="1:7" ht="18" customHeight="1" x14ac:dyDescent="0.35">
      <c r="A828" s="3"/>
      <c r="B828" s="3"/>
      <c r="C828" s="3"/>
      <c r="D828" s="3"/>
      <c r="E828" s="3"/>
      <c r="F828" s="3"/>
      <c r="G828" s="3"/>
    </row>
    <row r="829" spans="1:7" ht="18" customHeight="1" x14ac:dyDescent="0.35">
      <c r="A829" s="3"/>
      <c r="B829" s="3"/>
      <c r="C829" s="3"/>
      <c r="D829" s="3"/>
      <c r="E829" s="3"/>
      <c r="F829" s="3"/>
      <c r="G829" s="3"/>
    </row>
    <row r="830" spans="1:7" ht="18" customHeight="1" x14ac:dyDescent="0.35">
      <c r="A830" s="3"/>
      <c r="B830" s="3"/>
      <c r="C830" s="3"/>
      <c r="D830" s="3"/>
      <c r="E830" s="3"/>
      <c r="F830" s="3"/>
      <c r="G830" s="3"/>
    </row>
    <row r="831" spans="1:7" ht="18" customHeight="1" x14ac:dyDescent="0.35">
      <c r="A831" s="3"/>
      <c r="B831" s="3"/>
      <c r="C831" s="3"/>
      <c r="D831" s="3"/>
      <c r="E831" s="3"/>
      <c r="F831" s="3"/>
      <c r="G831" s="3"/>
    </row>
    <row r="832" spans="1:7" ht="18" customHeight="1" x14ac:dyDescent="0.35">
      <c r="A832" s="3"/>
      <c r="B832" s="3"/>
      <c r="C832" s="3"/>
      <c r="D832" s="3"/>
      <c r="E832" s="3"/>
      <c r="F832" s="3"/>
      <c r="G832" s="3"/>
    </row>
    <row r="833" spans="1:7" ht="18" customHeight="1" x14ac:dyDescent="0.35">
      <c r="A833" s="3"/>
      <c r="B833" s="3"/>
      <c r="C833" s="3"/>
      <c r="D833" s="3"/>
      <c r="E833" s="3"/>
      <c r="F833" s="3"/>
      <c r="G833" s="3"/>
    </row>
    <row r="834" spans="1:7" ht="18" customHeight="1" x14ac:dyDescent="0.35">
      <c r="A834" s="3"/>
      <c r="B834" s="3"/>
      <c r="C834" s="3"/>
      <c r="D834" s="3"/>
      <c r="E834" s="3"/>
      <c r="F834" s="3"/>
      <c r="G834" s="3"/>
    </row>
    <row r="835" spans="1:7" ht="18" customHeight="1" x14ac:dyDescent="0.35">
      <c r="A835" s="3"/>
      <c r="B835" s="3"/>
      <c r="C835" s="3"/>
      <c r="D835" s="3"/>
      <c r="E835" s="3"/>
      <c r="F835" s="3"/>
      <c r="G835" s="3"/>
    </row>
    <row r="836" spans="1:7" ht="18" customHeight="1" x14ac:dyDescent="0.35">
      <c r="A836" s="3"/>
      <c r="B836" s="3"/>
      <c r="C836" s="3"/>
      <c r="D836" s="3"/>
      <c r="E836" s="3"/>
      <c r="F836" s="3"/>
      <c r="G836" s="3"/>
    </row>
    <row r="837" spans="1:7" ht="18" customHeight="1" x14ac:dyDescent="0.35">
      <c r="A837" s="3"/>
      <c r="B837" s="3"/>
      <c r="C837" s="3"/>
      <c r="D837" s="3"/>
      <c r="E837" s="3"/>
      <c r="F837" s="3"/>
      <c r="G837" s="3"/>
    </row>
    <row r="838" spans="1:7" ht="18" customHeight="1" x14ac:dyDescent="0.35">
      <c r="A838" s="3"/>
      <c r="B838" s="3"/>
      <c r="C838" s="3"/>
      <c r="D838" s="3"/>
      <c r="E838" s="3"/>
      <c r="F838" s="3"/>
      <c r="G838" s="3"/>
    </row>
    <row r="839" spans="1:7" ht="18" customHeight="1" x14ac:dyDescent="0.35">
      <c r="A839" s="3"/>
      <c r="B839" s="3"/>
      <c r="C839" s="3"/>
      <c r="D839" s="3"/>
      <c r="E839" s="3"/>
      <c r="F839" s="3"/>
      <c r="G839" s="3"/>
    </row>
    <row r="840" spans="1:7" ht="18" customHeight="1" x14ac:dyDescent="0.35">
      <c r="A840" s="3"/>
      <c r="B840" s="3"/>
      <c r="C840" s="3"/>
      <c r="D840" s="3"/>
      <c r="E840" s="3"/>
      <c r="F840" s="3"/>
      <c r="G840" s="3"/>
    </row>
    <row r="841" spans="1:7" ht="18" customHeight="1" x14ac:dyDescent="0.35">
      <c r="A841" s="3"/>
      <c r="B841" s="3"/>
      <c r="C841" s="3"/>
      <c r="D841" s="3"/>
      <c r="E841" s="3"/>
      <c r="F841" s="3"/>
      <c r="G841" s="3"/>
    </row>
    <row r="842" spans="1:7" ht="18" customHeight="1" x14ac:dyDescent="0.35">
      <c r="A842" s="3"/>
      <c r="B842" s="3"/>
      <c r="C842" s="3"/>
      <c r="D842" s="3"/>
      <c r="E842" s="3"/>
      <c r="F842" s="3"/>
      <c r="G842" s="3"/>
    </row>
    <row r="843" spans="1:7" ht="18" customHeight="1" x14ac:dyDescent="0.35">
      <c r="A843" s="3"/>
      <c r="B843" s="3"/>
      <c r="C843" s="3"/>
      <c r="D843" s="3"/>
      <c r="E843" s="3"/>
      <c r="F843" s="3"/>
      <c r="G843" s="3"/>
    </row>
    <row r="844" spans="1:7" ht="18" customHeight="1" x14ac:dyDescent="0.35">
      <c r="A844" s="3"/>
      <c r="B844" s="3"/>
      <c r="C844" s="3"/>
      <c r="D844" s="3"/>
      <c r="E844" s="3"/>
      <c r="F844" s="3"/>
      <c r="G844" s="3"/>
    </row>
    <row r="845" spans="1:7" ht="18" customHeight="1" x14ac:dyDescent="0.35">
      <c r="A845" s="3"/>
      <c r="B845" s="3"/>
      <c r="C845" s="3"/>
      <c r="D845" s="3"/>
      <c r="E845" s="3"/>
      <c r="F845" s="3"/>
      <c r="G845" s="3"/>
    </row>
    <row r="846" spans="1:7" ht="18" customHeight="1" x14ac:dyDescent="0.35">
      <c r="A846" s="3"/>
      <c r="B846" s="3"/>
      <c r="C846" s="3"/>
      <c r="D846" s="3"/>
      <c r="E846" s="3"/>
      <c r="F846" s="3"/>
      <c r="G846" s="3"/>
    </row>
    <row r="847" spans="1:7" ht="18" customHeight="1" x14ac:dyDescent="0.35">
      <c r="A847" s="3"/>
      <c r="B847" s="3"/>
      <c r="C847" s="3"/>
      <c r="D847" s="3"/>
      <c r="E847" s="3"/>
      <c r="F847" s="3"/>
      <c r="G847" s="3"/>
    </row>
    <row r="848" spans="1:7" ht="18" customHeight="1" x14ac:dyDescent="0.35">
      <c r="A848" s="3"/>
      <c r="B848" s="3"/>
      <c r="C848" s="3"/>
      <c r="D848" s="3"/>
      <c r="E848" s="3"/>
      <c r="F848" s="3"/>
      <c r="G848" s="3"/>
    </row>
    <row r="849" spans="1:7" ht="18" customHeight="1" x14ac:dyDescent="0.35">
      <c r="A849" s="3"/>
      <c r="B849" s="3"/>
      <c r="C849" s="3"/>
      <c r="D849" s="3"/>
      <c r="E849" s="3"/>
      <c r="F849" s="3"/>
      <c r="G849" s="3"/>
    </row>
    <row r="850" spans="1:7" ht="18" customHeight="1" x14ac:dyDescent="0.35">
      <c r="A850" s="3"/>
      <c r="B850" s="3"/>
      <c r="C850" s="3"/>
      <c r="D850" s="3"/>
      <c r="E850" s="3"/>
      <c r="F850" s="3"/>
      <c r="G850" s="3"/>
    </row>
    <row r="851" spans="1:7" ht="18" customHeight="1" x14ac:dyDescent="0.35">
      <c r="A851" s="3"/>
      <c r="B851" s="3"/>
      <c r="C851" s="3"/>
      <c r="D851" s="3"/>
      <c r="E851" s="3"/>
      <c r="F851" s="3"/>
      <c r="G851" s="3"/>
    </row>
    <row r="852" spans="1:7" ht="18" customHeight="1" x14ac:dyDescent="0.35">
      <c r="A852" s="3"/>
      <c r="B852" s="3"/>
      <c r="C852" s="3"/>
      <c r="D852" s="3"/>
      <c r="E852" s="3"/>
      <c r="F852" s="3"/>
      <c r="G852" s="3"/>
    </row>
    <row r="853" spans="1:7" ht="18" customHeight="1" x14ac:dyDescent="0.35">
      <c r="A853" s="3"/>
      <c r="B853" s="3"/>
      <c r="C853" s="3"/>
      <c r="D853" s="3"/>
      <c r="E853" s="3"/>
      <c r="F853" s="3"/>
      <c r="G853" s="3"/>
    </row>
    <row r="854" spans="1:7" ht="18" customHeight="1" x14ac:dyDescent="0.35">
      <c r="A854" s="3"/>
      <c r="B854" s="3"/>
      <c r="C854" s="3"/>
      <c r="D854" s="3"/>
      <c r="E854" s="3"/>
      <c r="F854" s="3"/>
      <c r="G854" s="3"/>
    </row>
    <row r="855" spans="1:7" ht="18" customHeight="1" x14ac:dyDescent="0.35">
      <c r="A855" s="3"/>
      <c r="B855" s="3"/>
      <c r="C855" s="3"/>
      <c r="D855" s="3"/>
      <c r="E855" s="3"/>
      <c r="F855" s="3"/>
      <c r="G855" s="3"/>
    </row>
    <row r="856" spans="1:7" ht="18" customHeight="1" x14ac:dyDescent="0.35">
      <c r="A856" s="3"/>
      <c r="B856" s="3"/>
      <c r="C856" s="3"/>
      <c r="D856" s="3"/>
      <c r="E856" s="3"/>
      <c r="F856" s="3"/>
      <c r="G856" s="3"/>
    </row>
    <row r="857" spans="1:7" ht="18" customHeight="1" x14ac:dyDescent="0.35">
      <c r="A857" s="3"/>
      <c r="B857" s="3"/>
      <c r="C857" s="3"/>
      <c r="D857" s="3"/>
      <c r="E857" s="3"/>
      <c r="F857" s="3"/>
      <c r="G857" s="3"/>
    </row>
    <row r="858" spans="1:7" ht="18" customHeight="1" x14ac:dyDescent="0.35">
      <c r="A858" s="3"/>
      <c r="B858" s="3"/>
      <c r="C858" s="3"/>
      <c r="D858" s="3"/>
      <c r="E858" s="3"/>
      <c r="F858" s="3"/>
      <c r="G858" s="3"/>
    </row>
    <row r="859" spans="1:7" ht="18" customHeight="1" x14ac:dyDescent="0.35">
      <c r="A859" s="3"/>
      <c r="B859" s="3"/>
      <c r="C859" s="3"/>
      <c r="D859" s="3"/>
      <c r="E859" s="3"/>
      <c r="F859" s="3"/>
      <c r="G859" s="3"/>
    </row>
    <row r="860" spans="1:7" ht="18" customHeight="1" x14ac:dyDescent="0.35">
      <c r="A860" s="3"/>
      <c r="B860" s="3"/>
      <c r="C860" s="3"/>
      <c r="D860" s="3"/>
      <c r="E860" s="3"/>
      <c r="F860" s="3"/>
      <c r="G860" s="3"/>
    </row>
    <row r="861" spans="1:7" ht="18" customHeight="1" x14ac:dyDescent="0.35">
      <c r="A861" s="3"/>
      <c r="B861" s="3"/>
      <c r="C861" s="3"/>
      <c r="D861" s="3"/>
      <c r="E861" s="3"/>
      <c r="F861" s="3"/>
      <c r="G861" s="3"/>
    </row>
    <row r="862" spans="1:7" ht="18" customHeight="1" x14ac:dyDescent="0.35">
      <c r="A862" s="3"/>
      <c r="B862" s="3"/>
      <c r="C862" s="3"/>
      <c r="D862" s="3"/>
      <c r="E862" s="3"/>
      <c r="F862" s="3"/>
      <c r="G862" s="3"/>
    </row>
    <row r="863" spans="1:7" ht="18" customHeight="1" x14ac:dyDescent="0.35">
      <c r="A863" s="3"/>
      <c r="B863" s="3"/>
      <c r="C863" s="3"/>
      <c r="D863" s="3"/>
      <c r="E863" s="3"/>
      <c r="F863" s="3"/>
      <c r="G863" s="3"/>
    </row>
    <row r="864" spans="1:7" ht="18" customHeight="1" x14ac:dyDescent="0.35">
      <c r="A864" s="3"/>
      <c r="B864" s="3"/>
      <c r="C864" s="3"/>
      <c r="D864" s="3"/>
      <c r="E864" s="3"/>
      <c r="F864" s="3"/>
      <c r="G864" s="3"/>
    </row>
    <row r="865" spans="1:7" ht="18" customHeight="1" x14ac:dyDescent="0.35">
      <c r="A865" s="3"/>
      <c r="B865" s="3"/>
      <c r="C865" s="3"/>
      <c r="D865" s="3"/>
      <c r="E865" s="3"/>
      <c r="F865" s="3"/>
      <c r="G865" s="3"/>
    </row>
    <row r="866" spans="1:7" ht="18" customHeight="1" x14ac:dyDescent="0.35">
      <c r="A866" s="3"/>
      <c r="B866" s="3"/>
      <c r="C866" s="3"/>
      <c r="D866" s="3"/>
      <c r="E866" s="3"/>
      <c r="F866" s="3"/>
      <c r="G866" s="3"/>
    </row>
    <row r="867" spans="1:7" ht="18" customHeight="1" x14ac:dyDescent="0.35">
      <c r="A867" s="3"/>
      <c r="B867" s="3"/>
      <c r="C867" s="3"/>
      <c r="D867" s="3"/>
      <c r="E867" s="3"/>
      <c r="F867" s="3"/>
      <c r="G867" s="3"/>
    </row>
    <row r="868" spans="1:7" ht="18" customHeight="1" x14ac:dyDescent="0.35">
      <c r="A868" s="3"/>
      <c r="B868" s="3"/>
      <c r="C868" s="3"/>
      <c r="D868" s="3"/>
      <c r="E868" s="3"/>
      <c r="F868" s="3"/>
      <c r="G868" s="3"/>
    </row>
    <row r="869" spans="1:7" ht="18" customHeight="1" x14ac:dyDescent="0.35">
      <c r="A869" s="3"/>
      <c r="B869" s="3"/>
      <c r="C869" s="3"/>
      <c r="D869" s="3"/>
      <c r="E869" s="3"/>
      <c r="F869" s="3"/>
      <c r="G869" s="3"/>
    </row>
    <row r="870" spans="1:7" ht="18" customHeight="1" x14ac:dyDescent="0.35">
      <c r="A870" s="3"/>
      <c r="B870" s="3"/>
      <c r="C870" s="3"/>
      <c r="D870" s="3"/>
      <c r="E870" s="3"/>
      <c r="F870" s="3"/>
      <c r="G870" s="3"/>
    </row>
    <row r="871" spans="1:7" ht="18" customHeight="1" x14ac:dyDescent="0.35">
      <c r="A871" s="3"/>
      <c r="B871" s="3"/>
      <c r="C871" s="3"/>
      <c r="D871" s="3"/>
      <c r="E871" s="3"/>
      <c r="F871" s="3"/>
      <c r="G871" s="3"/>
    </row>
    <row r="872" spans="1:7" ht="18" customHeight="1" x14ac:dyDescent="0.35">
      <c r="A872" s="3"/>
      <c r="B872" s="3"/>
      <c r="C872" s="3"/>
      <c r="D872" s="3"/>
      <c r="E872" s="3"/>
      <c r="F872" s="3"/>
      <c r="G872" s="3"/>
    </row>
    <row r="873" spans="1:7" ht="18" customHeight="1" x14ac:dyDescent="0.35">
      <c r="A873" s="3"/>
      <c r="B873" s="3"/>
      <c r="C873" s="3"/>
      <c r="D873" s="3"/>
      <c r="E873" s="3"/>
      <c r="F873" s="3"/>
      <c r="G873" s="3"/>
    </row>
    <row r="874" spans="1:7" ht="18" customHeight="1" x14ac:dyDescent="0.35">
      <c r="A874" s="3"/>
      <c r="B874" s="3"/>
      <c r="C874" s="3"/>
      <c r="D874" s="3"/>
      <c r="E874" s="3"/>
      <c r="F874" s="3"/>
      <c r="G874" s="3"/>
    </row>
    <row r="875" spans="1:7" ht="18" customHeight="1" x14ac:dyDescent="0.35">
      <c r="A875" s="3"/>
      <c r="B875" s="3"/>
      <c r="C875" s="3"/>
      <c r="D875" s="3"/>
      <c r="E875" s="3"/>
      <c r="F875" s="3"/>
      <c r="G875" s="3"/>
    </row>
    <row r="876" spans="1:7" ht="18" customHeight="1" x14ac:dyDescent="0.35">
      <c r="A876" s="3"/>
      <c r="B876" s="3"/>
      <c r="C876" s="3"/>
      <c r="D876" s="3"/>
      <c r="E876" s="3"/>
      <c r="F876" s="3"/>
      <c r="G876" s="3"/>
    </row>
    <row r="877" spans="1:7" ht="18" customHeight="1" x14ac:dyDescent="0.35">
      <c r="A877" s="3"/>
      <c r="B877" s="3"/>
      <c r="C877" s="3"/>
      <c r="D877" s="3"/>
      <c r="E877" s="3"/>
      <c r="F877" s="3"/>
      <c r="G877" s="3"/>
    </row>
    <row r="878" spans="1:7" ht="18" customHeight="1" x14ac:dyDescent="0.35">
      <c r="A878" s="3"/>
      <c r="B878" s="3"/>
      <c r="C878" s="3"/>
      <c r="D878" s="3"/>
      <c r="E878" s="3"/>
      <c r="F878" s="3"/>
      <c r="G878" s="3"/>
    </row>
    <row r="879" spans="1:7" ht="18" customHeight="1" x14ac:dyDescent="0.35">
      <c r="A879" s="3"/>
      <c r="B879" s="3"/>
      <c r="C879" s="3"/>
      <c r="D879" s="3"/>
      <c r="E879" s="3"/>
      <c r="F879" s="3"/>
      <c r="G879" s="3"/>
    </row>
    <row r="880" spans="1:7" ht="18" customHeight="1" x14ac:dyDescent="0.35">
      <c r="A880" s="3"/>
      <c r="B880" s="3"/>
      <c r="C880" s="3"/>
      <c r="D880" s="3"/>
      <c r="E880" s="3"/>
      <c r="F880" s="3"/>
      <c r="G880" s="3"/>
    </row>
    <row r="881" spans="1:7" ht="18" customHeight="1" x14ac:dyDescent="0.35">
      <c r="A881" s="3"/>
      <c r="B881" s="3"/>
      <c r="C881" s="3"/>
      <c r="D881" s="3"/>
      <c r="E881" s="3"/>
      <c r="F881" s="3"/>
      <c r="G881" s="3"/>
    </row>
    <row r="882" spans="1:7" ht="18" customHeight="1" x14ac:dyDescent="0.35">
      <c r="A882" s="3"/>
      <c r="B882" s="3"/>
      <c r="C882" s="3"/>
      <c r="D882" s="3"/>
      <c r="E882" s="3"/>
      <c r="F882" s="3"/>
      <c r="G882" s="3"/>
    </row>
    <row r="883" spans="1:7" ht="18" customHeight="1" x14ac:dyDescent="0.35">
      <c r="A883" s="3"/>
      <c r="B883" s="3"/>
      <c r="C883" s="3"/>
      <c r="D883" s="3"/>
      <c r="E883" s="3"/>
      <c r="F883" s="3"/>
      <c r="G883" s="3"/>
    </row>
    <row r="884" spans="1:7" ht="18" customHeight="1" x14ac:dyDescent="0.35">
      <c r="A884" s="3"/>
      <c r="B884" s="3"/>
      <c r="C884" s="3"/>
      <c r="D884" s="3"/>
      <c r="E884" s="3"/>
      <c r="F884" s="3"/>
      <c r="G884" s="3"/>
    </row>
    <row r="885" spans="1:7" ht="18" customHeight="1" x14ac:dyDescent="0.35">
      <c r="A885" s="3"/>
      <c r="B885" s="3"/>
      <c r="C885" s="3"/>
      <c r="D885" s="3"/>
      <c r="E885" s="3"/>
      <c r="F885" s="3"/>
      <c r="G885" s="3"/>
    </row>
    <row r="886" spans="1:7" ht="18" customHeight="1" x14ac:dyDescent="0.35">
      <c r="A886" s="3"/>
      <c r="B886" s="3"/>
      <c r="C886" s="3"/>
      <c r="D886" s="3"/>
      <c r="E886" s="3"/>
      <c r="F886" s="3"/>
      <c r="G886" s="3"/>
    </row>
    <row r="887" spans="1:7" ht="18" customHeight="1" x14ac:dyDescent="0.35">
      <c r="A887" s="3"/>
      <c r="B887" s="3"/>
      <c r="C887" s="3"/>
      <c r="D887" s="3"/>
      <c r="E887" s="3"/>
      <c r="F887" s="3"/>
      <c r="G887" s="3"/>
    </row>
    <row r="888" spans="1:7" ht="18" customHeight="1" x14ac:dyDescent="0.35">
      <c r="A888" s="3"/>
      <c r="B888" s="3"/>
      <c r="C888" s="3"/>
      <c r="D888" s="3"/>
      <c r="E888" s="3"/>
      <c r="F888" s="3"/>
      <c r="G888" s="3"/>
    </row>
    <row r="889" spans="1:7" ht="18" customHeight="1" x14ac:dyDescent="0.35">
      <c r="A889" s="3"/>
      <c r="B889" s="3"/>
      <c r="C889" s="3"/>
      <c r="D889" s="3"/>
      <c r="E889" s="3"/>
      <c r="F889" s="3"/>
      <c r="G889" s="3"/>
    </row>
    <row r="890" spans="1:7" ht="18" customHeight="1" x14ac:dyDescent="0.35">
      <c r="A890" s="3"/>
      <c r="B890" s="3"/>
      <c r="C890" s="3"/>
      <c r="D890" s="3"/>
      <c r="E890" s="3"/>
      <c r="F890" s="3"/>
      <c r="G890" s="3"/>
    </row>
    <row r="891" spans="1:7" ht="18" customHeight="1" x14ac:dyDescent="0.35">
      <c r="A891" s="3"/>
      <c r="B891" s="3"/>
      <c r="C891" s="3"/>
      <c r="D891" s="3"/>
      <c r="E891" s="3"/>
      <c r="F891" s="3"/>
      <c r="G891" s="3"/>
    </row>
    <row r="892" spans="1:7" ht="18" customHeight="1" x14ac:dyDescent="0.35">
      <c r="A892" s="3"/>
      <c r="B892" s="3"/>
      <c r="C892" s="3"/>
      <c r="D892" s="3"/>
      <c r="E892" s="3"/>
      <c r="F892" s="3"/>
      <c r="G892" s="3"/>
    </row>
    <row r="893" spans="1:7" ht="18" customHeight="1" x14ac:dyDescent="0.35">
      <c r="A893" s="3"/>
      <c r="B893" s="3"/>
      <c r="C893" s="3"/>
      <c r="D893" s="3"/>
      <c r="E893" s="3"/>
      <c r="F893" s="3"/>
      <c r="G893" s="3"/>
    </row>
    <row r="894" spans="1:7" ht="18" customHeight="1" x14ac:dyDescent="0.35">
      <c r="A894" s="3"/>
      <c r="B894" s="3"/>
      <c r="C894" s="3"/>
      <c r="D894" s="3"/>
      <c r="E894" s="3"/>
      <c r="F894" s="3"/>
      <c r="G894" s="3"/>
    </row>
    <row r="895" spans="1:7" ht="18" customHeight="1" x14ac:dyDescent="0.35">
      <c r="A895" s="3"/>
      <c r="B895" s="3"/>
      <c r="C895" s="3"/>
      <c r="D895" s="3"/>
      <c r="E895" s="3"/>
      <c r="F895" s="3"/>
      <c r="G895" s="3"/>
    </row>
    <row r="896" spans="1:7" ht="18" customHeight="1" x14ac:dyDescent="0.35">
      <c r="A896" s="3"/>
      <c r="B896" s="3"/>
      <c r="C896" s="3"/>
      <c r="D896" s="3"/>
      <c r="E896" s="3"/>
      <c r="F896" s="3"/>
      <c r="G896" s="3"/>
    </row>
    <row r="897" spans="1:7" ht="18" customHeight="1" x14ac:dyDescent="0.35">
      <c r="A897" s="3"/>
      <c r="B897" s="3"/>
      <c r="C897" s="3"/>
      <c r="D897" s="3"/>
      <c r="E897" s="3"/>
      <c r="F897" s="3"/>
      <c r="G897" s="3"/>
    </row>
    <row r="898" spans="1:7" ht="18" customHeight="1" x14ac:dyDescent="0.35">
      <c r="A898" s="3"/>
      <c r="B898" s="3"/>
      <c r="C898" s="3"/>
      <c r="D898" s="3"/>
      <c r="E898" s="3"/>
      <c r="F898" s="3"/>
      <c r="G898" s="3"/>
    </row>
    <row r="899" spans="1:7" ht="18" customHeight="1" x14ac:dyDescent="0.35">
      <c r="A899" s="3"/>
      <c r="B899" s="3"/>
      <c r="C899" s="3"/>
      <c r="D899" s="3"/>
      <c r="E899" s="3"/>
      <c r="F899" s="3"/>
      <c r="G899" s="3"/>
    </row>
    <row r="900" spans="1:7" ht="18" customHeight="1" x14ac:dyDescent="0.35">
      <c r="A900" s="3"/>
      <c r="B900" s="3"/>
      <c r="C900" s="3"/>
      <c r="D900" s="3"/>
      <c r="E900" s="3"/>
      <c r="F900" s="3"/>
      <c r="G900" s="3"/>
    </row>
    <row r="901" spans="1:7" ht="18" customHeight="1" x14ac:dyDescent="0.35">
      <c r="A901" s="3"/>
      <c r="B901" s="3"/>
      <c r="C901" s="3"/>
      <c r="D901" s="3"/>
      <c r="E901" s="3"/>
      <c r="F901" s="3"/>
      <c r="G901" s="3"/>
    </row>
    <row r="902" spans="1:7" ht="18" customHeight="1" x14ac:dyDescent="0.35">
      <c r="A902" s="3"/>
      <c r="B902" s="3"/>
      <c r="C902" s="3"/>
      <c r="D902" s="3"/>
      <c r="E902" s="3"/>
      <c r="F902" s="3"/>
      <c r="G902" s="3"/>
    </row>
    <row r="903" spans="1:7" ht="18" customHeight="1" x14ac:dyDescent="0.35">
      <c r="A903" s="3"/>
      <c r="B903" s="3"/>
      <c r="C903" s="3"/>
      <c r="D903" s="3"/>
      <c r="E903" s="3"/>
      <c r="F903" s="3"/>
      <c r="G903" s="3"/>
    </row>
    <row r="904" spans="1:7" ht="18" customHeight="1" x14ac:dyDescent="0.35">
      <c r="A904" s="3"/>
      <c r="B904" s="3"/>
      <c r="C904" s="3"/>
      <c r="D904" s="3"/>
      <c r="E904" s="3"/>
      <c r="F904" s="3"/>
      <c r="G904" s="3"/>
    </row>
    <row r="905" spans="1:7" ht="18" customHeight="1" x14ac:dyDescent="0.35">
      <c r="A905" s="3"/>
      <c r="B905" s="3"/>
      <c r="C905" s="3"/>
      <c r="D905" s="3"/>
      <c r="E905" s="3"/>
      <c r="F905" s="3"/>
      <c r="G905" s="3"/>
    </row>
    <row r="906" spans="1:7" ht="18" customHeight="1" x14ac:dyDescent="0.35">
      <c r="A906" s="3"/>
      <c r="B906" s="3"/>
      <c r="C906" s="3"/>
      <c r="D906" s="3"/>
      <c r="E906" s="3"/>
      <c r="F906" s="3"/>
      <c r="G906" s="3"/>
    </row>
    <row r="907" spans="1:7" ht="18" customHeight="1" x14ac:dyDescent="0.35">
      <c r="A907" s="3"/>
      <c r="B907" s="3"/>
      <c r="C907" s="3"/>
      <c r="D907" s="3"/>
      <c r="E907" s="3"/>
      <c r="F907" s="3"/>
      <c r="G907" s="3"/>
    </row>
    <row r="908" spans="1:7" ht="18" customHeight="1" x14ac:dyDescent="0.35">
      <c r="A908" s="3"/>
      <c r="B908" s="3"/>
      <c r="C908" s="3"/>
      <c r="D908" s="3"/>
      <c r="E908" s="3"/>
      <c r="F908" s="3"/>
      <c r="G908" s="3"/>
    </row>
    <row r="909" spans="1:7" ht="18" customHeight="1" x14ac:dyDescent="0.35">
      <c r="A909" s="3"/>
      <c r="B909" s="3"/>
      <c r="C909" s="3"/>
      <c r="D909" s="3"/>
      <c r="E909" s="3"/>
      <c r="F909" s="3"/>
      <c r="G909" s="3"/>
    </row>
    <row r="910" spans="1:7" ht="18" customHeight="1" x14ac:dyDescent="0.35">
      <c r="A910" s="3"/>
      <c r="B910" s="3"/>
      <c r="C910" s="3"/>
      <c r="D910" s="3"/>
      <c r="E910" s="3"/>
      <c r="F910" s="3"/>
      <c r="G910" s="3"/>
    </row>
    <row r="911" spans="1:7" ht="18" customHeight="1" x14ac:dyDescent="0.35">
      <c r="A911" s="3"/>
      <c r="B911" s="3"/>
      <c r="C911" s="3"/>
      <c r="D911" s="3"/>
      <c r="E911" s="3"/>
      <c r="F911" s="3"/>
      <c r="G911" s="3"/>
    </row>
    <row r="912" spans="1:7" ht="18" customHeight="1" x14ac:dyDescent="0.35">
      <c r="A912" s="3"/>
      <c r="B912" s="3"/>
      <c r="C912" s="3"/>
      <c r="D912" s="3"/>
      <c r="E912" s="3"/>
      <c r="F912" s="3"/>
      <c r="G912" s="3"/>
    </row>
    <row r="913" spans="1:7" ht="18" customHeight="1" x14ac:dyDescent="0.35">
      <c r="A913" s="3"/>
      <c r="B913" s="3"/>
      <c r="C913" s="3"/>
      <c r="D913" s="3"/>
      <c r="E913" s="3"/>
      <c r="F913" s="3"/>
      <c r="G913" s="3"/>
    </row>
    <row r="914" spans="1:7" ht="18" customHeight="1" x14ac:dyDescent="0.35">
      <c r="A914" s="3"/>
      <c r="B914" s="3"/>
      <c r="C914" s="3"/>
      <c r="D914" s="3"/>
      <c r="E914" s="3"/>
      <c r="F914" s="3"/>
      <c r="G914" s="3"/>
    </row>
    <row r="915" spans="1:7" ht="18" customHeight="1" x14ac:dyDescent="0.35">
      <c r="A915" s="3"/>
      <c r="B915" s="3"/>
      <c r="C915" s="3"/>
      <c r="D915" s="3"/>
      <c r="E915" s="3"/>
      <c r="F915" s="3"/>
      <c r="G915" s="3"/>
    </row>
    <row r="916" spans="1:7" ht="18" customHeight="1" x14ac:dyDescent="0.35">
      <c r="A916" s="3"/>
      <c r="B916" s="3"/>
      <c r="C916" s="3"/>
      <c r="D916" s="3"/>
      <c r="E916" s="3"/>
      <c r="F916" s="3"/>
      <c r="G916" s="3"/>
    </row>
    <row r="917" spans="1:7" ht="18" customHeight="1" x14ac:dyDescent="0.35">
      <c r="A917" s="3"/>
      <c r="B917" s="3"/>
      <c r="C917" s="3"/>
      <c r="D917" s="3"/>
      <c r="E917" s="3"/>
      <c r="F917" s="3"/>
      <c r="G917" s="3"/>
    </row>
    <row r="918" spans="1:7" ht="18" customHeight="1" x14ac:dyDescent="0.35">
      <c r="A918" s="3"/>
      <c r="B918" s="3"/>
      <c r="C918" s="3"/>
      <c r="D918" s="3"/>
      <c r="E918" s="3"/>
      <c r="F918" s="3"/>
      <c r="G918" s="3"/>
    </row>
    <row r="919" spans="1:7" ht="18" customHeight="1" x14ac:dyDescent="0.35">
      <c r="A919" s="3"/>
      <c r="B919" s="3"/>
      <c r="C919" s="3"/>
      <c r="D919" s="3"/>
      <c r="E919" s="3"/>
      <c r="F919" s="3"/>
      <c r="G919" s="3"/>
    </row>
    <row r="920" spans="1:7" ht="18" customHeight="1" x14ac:dyDescent="0.35">
      <c r="A920" s="3"/>
      <c r="B920" s="3"/>
      <c r="C920" s="3"/>
      <c r="D920" s="3"/>
      <c r="E920" s="3"/>
      <c r="F920" s="3"/>
      <c r="G920" s="3"/>
    </row>
    <row r="921" spans="1:7" ht="18" customHeight="1" x14ac:dyDescent="0.35">
      <c r="A921" s="3"/>
      <c r="B921" s="3"/>
      <c r="C921" s="3"/>
      <c r="D921" s="3"/>
      <c r="E921" s="3"/>
      <c r="F921" s="3"/>
      <c r="G921" s="3"/>
    </row>
    <row r="922" spans="1:7" ht="18" customHeight="1" x14ac:dyDescent="0.35">
      <c r="A922" s="3"/>
      <c r="B922" s="3"/>
      <c r="C922" s="3"/>
      <c r="D922" s="3"/>
      <c r="E922" s="3"/>
      <c r="F922" s="3"/>
      <c r="G922" s="3"/>
    </row>
    <row r="923" spans="1:7" ht="18" customHeight="1" x14ac:dyDescent="0.35">
      <c r="A923" s="3"/>
      <c r="B923" s="3"/>
      <c r="C923" s="3"/>
      <c r="D923" s="3"/>
      <c r="E923" s="3"/>
      <c r="F923" s="3"/>
      <c r="G923" s="3"/>
    </row>
    <row r="924" spans="1:7" ht="18" customHeight="1" x14ac:dyDescent="0.35">
      <c r="A924" s="3"/>
      <c r="B924" s="3"/>
      <c r="C924" s="3"/>
      <c r="D924" s="3"/>
      <c r="E924" s="3"/>
      <c r="F924" s="3"/>
      <c r="G924" s="3"/>
    </row>
    <row r="925" spans="1:7" ht="18" customHeight="1" x14ac:dyDescent="0.35">
      <c r="A925" s="3"/>
      <c r="B925" s="3"/>
      <c r="C925" s="3"/>
      <c r="D925" s="3"/>
      <c r="E925" s="3"/>
      <c r="F925" s="3"/>
      <c r="G925" s="3"/>
    </row>
    <row r="926" spans="1:7" ht="18" customHeight="1" x14ac:dyDescent="0.35">
      <c r="A926" s="3"/>
      <c r="B926" s="3"/>
      <c r="C926" s="3"/>
      <c r="D926" s="3"/>
      <c r="E926" s="3"/>
      <c r="F926" s="3"/>
      <c r="G926" s="3"/>
    </row>
    <row r="927" spans="1:7" ht="18" customHeight="1" x14ac:dyDescent="0.35">
      <c r="A927" s="3"/>
      <c r="B927" s="3"/>
      <c r="C927" s="3"/>
      <c r="D927" s="3"/>
      <c r="E927" s="3"/>
      <c r="F927" s="3"/>
      <c r="G927" s="3"/>
    </row>
    <row r="928" spans="1:7" ht="18" customHeight="1" x14ac:dyDescent="0.35">
      <c r="A928" s="3"/>
      <c r="B928" s="3"/>
      <c r="C928" s="3"/>
      <c r="D928" s="3"/>
      <c r="E928" s="3"/>
      <c r="F928" s="3"/>
      <c r="G928" s="3"/>
    </row>
    <row r="929" spans="1:7" ht="18" customHeight="1" x14ac:dyDescent="0.35">
      <c r="A929" s="3"/>
      <c r="B929" s="3"/>
      <c r="C929" s="3"/>
      <c r="D929" s="3"/>
      <c r="E929" s="3"/>
      <c r="F929" s="3"/>
      <c r="G929" s="3"/>
    </row>
    <row r="930" spans="1:7" ht="18" customHeight="1" x14ac:dyDescent="0.35">
      <c r="A930" s="3"/>
      <c r="B930" s="3"/>
      <c r="C930" s="3"/>
      <c r="D930" s="3"/>
      <c r="E930" s="3"/>
      <c r="F930" s="3"/>
      <c r="G930" s="3"/>
    </row>
    <row r="931" spans="1:7" ht="18" customHeight="1" x14ac:dyDescent="0.35">
      <c r="A931" s="3"/>
      <c r="B931" s="3"/>
      <c r="C931" s="3"/>
      <c r="D931" s="3"/>
      <c r="E931" s="3"/>
      <c r="F931" s="3"/>
      <c r="G931" s="3"/>
    </row>
    <row r="932" spans="1:7" ht="18" customHeight="1" x14ac:dyDescent="0.35">
      <c r="A932" s="3"/>
      <c r="B932" s="3"/>
      <c r="C932" s="3"/>
      <c r="D932" s="3"/>
      <c r="E932" s="3"/>
      <c r="F932" s="3"/>
      <c r="G932" s="3"/>
    </row>
    <row r="933" spans="1:7" ht="18" customHeight="1" x14ac:dyDescent="0.35">
      <c r="A933" s="3"/>
      <c r="B933" s="3"/>
      <c r="C933" s="3"/>
      <c r="D933" s="3"/>
      <c r="E933" s="3"/>
      <c r="F933" s="3"/>
      <c r="G933" s="3"/>
    </row>
    <row r="934" spans="1:7" ht="18" customHeight="1" x14ac:dyDescent="0.35">
      <c r="A934" s="3"/>
      <c r="B934" s="3"/>
      <c r="C934" s="3"/>
      <c r="D934" s="3"/>
      <c r="E934" s="3"/>
      <c r="F934" s="3"/>
      <c r="G934" s="3"/>
    </row>
    <row r="935" spans="1:7" ht="18" customHeight="1" x14ac:dyDescent="0.35">
      <c r="A935" s="3"/>
      <c r="B935" s="3"/>
      <c r="C935" s="3"/>
      <c r="D935" s="3"/>
      <c r="E935" s="3"/>
      <c r="F935" s="3"/>
      <c r="G935" s="3"/>
    </row>
    <row r="936" spans="1:7" ht="18" customHeight="1" x14ac:dyDescent="0.35">
      <c r="A936" s="3"/>
      <c r="B936" s="3"/>
      <c r="C936" s="3"/>
      <c r="D936" s="3"/>
      <c r="E936" s="3"/>
      <c r="F936" s="3"/>
      <c r="G936" s="3"/>
    </row>
    <row r="937" spans="1:7" ht="18" customHeight="1" x14ac:dyDescent="0.35">
      <c r="A937" s="3"/>
      <c r="B937" s="3"/>
      <c r="C937" s="3"/>
      <c r="D937" s="3"/>
      <c r="E937" s="3"/>
      <c r="F937" s="3"/>
      <c r="G937" s="3"/>
    </row>
    <row r="938" spans="1:7" ht="18" customHeight="1" x14ac:dyDescent="0.35">
      <c r="A938" s="3"/>
      <c r="B938" s="3"/>
      <c r="C938" s="3"/>
      <c r="D938" s="3"/>
      <c r="E938" s="3"/>
      <c r="F938" s="3"/>
      <c r="G938" s="3"/>
    </row>
    <row r="939" spans="1:7" ht="18" customHeight="1" x14ac:dyDescent="0.35">
      <c r="A939" s="3"/>
      <c r="B939" s="3"/>
      <c r="C939" s="3"/>
      <c r="D939" s="3"/>
      <c r="E939" s="3"/>
      <c r="F939" s="3"/>
      <c r="G939" s="3"/>
    </row>
    <row r="940" spans="1:7" ht="18" customHeight="1" x14ac:dyDescent="0.35">
      <c r="A940" s="3"/>
      <c r="B940" s="3"/>
      <c r="C940" s="3"/>
      <c r="D940" s="3"/>
      <c r="E940" s="3"/>
      <c r="F940" s="3"/>
      <c r="G940" s="3"/>
    </row>
    <row r="941" spans="1:7" ht="18" customHeight="1" x14ac:dyDescent="0.35">
      <c r="A941" s="3"/>
      <c r="B941" s="3"/>
      <c r="C941" s="3"/>
      <c r="D941" s="3"/>
      <c r="E941" s="3"/>
      <c r="F941" s="3"/>
      <c r="G941" s="3"/>
    </row>
    <row r="942" spans="1:7" ht="18" customHeight="1" x14ac:dyDescent="0.35">
      <c r="A942" s="3"/>
      <c r="B942" s="3"/>
      <c r="C942" s="3"/>
      <c r="D942" s="3"/>
      <c r="E942" s="3"/>
      <c r="F942" s="3"/>
      <c r="G942" s="3"/>
    </row>
    <row r="943" spans="1:7" ht="18" customHeight="1" x14ac:dyDescent="0.35">
      <c r="A943" s="3"/>
      <c r="B943" s="3"/>
      <c r="C943" s="3"/>
      <c r="D943" s="3"/>
      <c r="E943" s="3"/>
      <c r="F943" s="3"/>
      <c r="G943" s="3"/>
    </row>
    <row r="944" spans="1:7" ht="18" customHeight="1" x14ac:dyDescent="0.35">
      <c r="A944" s="3"/>
      <c r="B944" s="3"/>
      <c r="C944" s="3"/>
      <c r="D944" s="3"/>
      <c r="E944" s="3"/>
      <c r="F944" s="3"/>
      <c r="G944" s="3"/>
    </row>
    <row r="945" spans="1:7" ht="18" customHeight="1" x14ac:dyDescent="0.35">
      <c r="A945" s="3"/>
      <c r="B945" s="3"/>
      <c r="C945" s="3"/>
      <c r="D945" s="3"/>
      <c r="E945" s="3"/>
      <c r="F945" s="3"/>
      <c r="G945" s="3"/>
    </row>
    <row r="946" spans="1:7" ht="18" customHeight="1" x14ac:dyDescent="0.35">
      <c r="A946" s="3"/>
      <c r="B946" s="3"/>
      <c r="C946" s="3"/>
      <c r="D946" s="3"/>
      <c r="E946" s="3"/>
      <c r="F946" s="3"/>
      <c r="G946" s="3"/>
    </row>
    <row r="947" spans="1:7" ht="18" customHeight="1" x14ac:dyDescent="0.35">
      <c r="A947" s="3"/>
      <c r="B947" s="3"/>
      <c r="C947" s="3"/>
      <c r="D947" s="3"/>
      <c r="E947" s="3"/>
      <c r="F947" s="3"/>
      <c r="G947" s="3"/>
    </row>
    <row r="948" spans="1:7" ht="18" customHeight="1" x14ac:dyDescent="0.35">
      <c r="A948" s="3"/>
      <c r="B948" s="3"/>
      <c r="C948" s="3"/>
      <c r="D948" s="3"/>
      <c r="E948" s="3"/>
      <c r="F948" s="3"/>
      <c r="G948" s="3"/>
    </row>
    <row r="949" spans="1:7" ht="18" customHeight="1" x14ac:dyDescent="0.35">
      <c r="A949" s="3"/>
      <c r="B949" s="3"/>
      <c r="C949" s="3"/>
      <c r="D949" s="3"/>
      <c r="E949" s="3"/>
      <c r="F949" s="3"/>
      <c r="G949" s="3"/>
    </row>
    <row r="950" spans="1:7" ht="18" customHeight="1" x14ac:dyDescent="0.35">
      <c r="A950" s="3"/>
      <c r="B950" s="3"/>
      <c r="C950" s="3"/>
      <c r="D950" s="3"/>
      <c r="E950" s="3"/>
      <c r="F950" s="3"/>
      <c r="G950" s="3"/>
    </row>
    <row r="951" spans="1:7" ht="18" customHeight="1" x14ac:dyDescent="0.35">
      <c r="A951" s="3"/>
      <c r="B951" s="3"/>
      <c r="C951" s="3"/>
      <c r="D951" s="3"/>
      <c r="E951" s="3"/>
      <c r="F951" s="3"/>
      <c r="G951" s="3"/>
    </row>
    <row r="952" spans="1:7" ht="18" customHeight="1" x14ac:dyDescent="0.35">
      <c r="A952" s="3"/>
      <c r="B952" s="3"/>
      <c r="C952" s="3"/>
      <c r="D952" s="3"/>
      <c r="E952" s="3"/>
      <c r="F952" s="3"/>
      <c r="G952" s="3"/>
    </row>
    <row r="953" spans="1:7" ht="18" customHeight="1" x14ac:dyDescent="0.35">
      <c r="A953" s="3"/>
      <c r="B953" s="3"/>
      <c r="C953" s="3"/>
      <c r="D953" s="3"/>
      <c r="E953" s="3"/>
      <c r="F953" s="3"/>
      <c r="G953" s="3"/>
    </row>
    <row r="954" spans="1:7" ht="18" customHeight="1" x14ac:dyDescent="0.35">
      <c r="A954" s="3"/>
      <c r="B954" s="3"/>
      <c r="C954" s="3"/>
      <c r="D954" s="3"/>
      <c r="E954" s="3"/>
      <c r="F954" s="3"/>
      <c r="G954" s="3"/>
    </row>
    <row r="955" spans="1:7" ht="18" customHeight="1" x14ac:dyDescent="0.35">
      <c r="A955" s="3"/>
      <c r="B955" s="3"/>
      <c r="C955" s="3"/>
      <c r="D955" s="3"/>
      <c r="E955" s="3"/>
      <c r="F955" s="3"/>
      <c r="G955" s="3"/>
    </row>
    <row r="956" spans="1:7" ht="18" customHeight="1" x14ac:dyDescent="0.35">
      <c r="A956" s="3"/>
      <c r="B956" s="3"/>
      <c r="C956" s="3"/>
      <c r="D956" s="3"/>
      <c r="E956" s="3"/>
      <c r="F956" s="3"/>
      <c r="G956" s="3"/>
    </row>
    <row r="957" spans="1:7" ht="18" customHeight="1" x14ac:dyDescent="0.35">
      <c r="A957" s="3"/>
      <c r="B957" s="3"/>
      <c r="C957" s="3"/>
      <c r="D957" s="3"/>
      <c r="E957" s="3"/>
      <c r="F957" s="3"/>
      <c r="G957" s="3"/>
    </row>
    <row r="958" spans="1:7" ht="18" customHeight="1" x14ac:dyDescent="0.35">
      <c r="A958" s="3"/>
      <c r="B958" s="3"/>
      <c r="C958" s="3"/>
      <c r="D958" s="3"/>
      <c r="E958" s="3"/>
      <c r="F958" s="3"/>
      <c r="G958" s="3"/>
    </row>
    <row r="959" spans="1:7" ht="18" customHeight="1" x14ac:dyDescent="0.35">
      <c r="A959" s="3"/>
      <c r="B959" s="3"/>
      <c r="C959" s="3"/>
      <c r="D959" s="3"/>
      <c r="E959" s="3"/>
      <c r="F959" s="3"/>
      <c r="G959" s="3"/>
    </row>
    <row r="960" spans="1:7" ht="18" customHeight="1" x14ac:dyDescent="0.35">
      <c r="A960" s="3"/>
      <c r="B960" s="3"/>
      <c r="C960" s="3"/>
      <c r="D960" s="3"/>
      <c r="E960" s="3"/>
      <c r="F960" s="3"/>
      <c r="G960" s="3"/>
    </row>
    <row r="961" spans="1:7" ht="18" customHeight="1" x14ac:dyDescent="0.35">
      <c r="A961" s="3"/>
      <c r="B961" s="3"/>
      <c r="C961" s="3"/>
      <c r="D961" s="3"/>
      <c r="E961" s="3"/>
      <c r="F961" s="3"/>
      <c r="G961" s="3"/>
    </row>
    <row r="962" spans="1:7" ht="18" customHeight="1" x14ac:dyDescent="0.35">
      <c r="A962" s="3"/>
      <c r="B962" s="3"/>
      <c r="C962" s="3"/>
      <c r="D962" s="3"/>
      <c r="E962" s="3"/>
      <c r="F962" s="3"/>
      <c r="G962" s="3"/>
    </row>
    <row r="963" spans="1:7" ht="18" customHeight="1" x14ac:dyDescent="0.35">
      <c r="A963" s="3"/>
      <c r="B963" s="3"/>
      <c r="C963" s="3"/>
      <c r="D963" s="3"/>
      <c r="E963" s="3"/>
      <c r="F963" s="3"/>
      <c r="G963" s="3"/>
    </row>
    <row r="964" spans="1:7" ht="18" customHeight="1" x14ac:dyDescent="0.35">
      <c r="A964" s="3"/>
      <c r="B964" s="3"/>
      <c r="C964" s="3"/>
      <c r="D964" s="3"/>
      <c r="E964" s="3"/>
      <c r="F964" s="3"/>
      <c r="G964" s="3"/>
    </row>
    <row r="965" spans="1:7" ht="18" customHeight="1" x14ac:dyDescent="0.35">
      <c r="A965" s="3"/>
      <c r="B965" s="3"/>
      <c r="C965" s="3"/>
      <c r="D965" s="3"/>
      <c r="E965" s="3"/>
      <c r="F965" s="3"/>
      <c r="G965" s="3"/>
    </row>
    <row r="966" spans="1:7" ht="18" customHeight="1" x14ac:dyDescent="0.35">
      <c r="A966" s="3"/>
      <c r="B966" s="3"/>
      <c r="C966" s="3"/>
      <c r="D966" s="3"/>
      <c r="E966" s="3"/>
      <c r="F966" s="3"/>
      <c r="G966" s="3"/>
    </row>
    <row r="967" spans="1:7" ht="18" customHeight="1" x14ac:dyDescent="0.35">
      <c r="A967" s="3"/>
      <c r="B967" s="3"/>
      <c r="C967" s="3"/>
      <c r="D967" s="3"/>
      <c r="E967" s="3"/>
      <c r="F967" s="3"/>
      <c r="G967" s="3"/>
    </row>
    <row r="968" spans="1:7" ht="18" customHeight="1" x14ac:dyDescent="0.35">
      <c r="A968" s="3"/>
      <c r="B968" s="3"/>
      <c r="C968" s="3"/>
      <c r="D968" s="3"/>
      <c r="E968" s="3"/>
      <c r="F968" s="3"/>
      <c r="G968" s="3"/>
    </row>
    <row r="969" spans="1:7" ht="18" customHeight="1" x14ac:dyDescent="0.35">
      <c r="A969" s="3"/>
      <c r="B969" s="3"/>
      <c r="C969" s="3"/>
      <c r="D969" s="3"/>
      <c r="E969" s="3"/>
      <c r="F969" s="3"/>
      <c r="G969" s="3"/>
    </row>
    <row r="970" spans="1:7" ht="18" customHeight="1" x14ac:dyDescent="0.35">
      <c r="A970" s="3"/>
      <c r="B970" s="3"/>
      <c r="C970" s="3"/>
      <c r="D970" s="3"/>
      <c r="E970" s="3"/>
      <c r="F970" s="3"/>
      <c r="G970" s="3"/>
    </row>
    <row r="971" spans="1:7" ht="18" customHeight="1" x14ac:dyDescent="0.35">
      <c r="A971" s="3"/>
      <c r="B971" s="3"/>
      <c r="C971" s="3"/>
      <c r="D971" s="3"/>
      <c r="E971" s="3"/>
      <c r="F971" s="3"/>
      <c r="G971" s="3"/>
    </row>
    <row r="972" spans="1:7" ht="18" customHeight="1" x14ac:dyDescent="0.35">
      <c r="A972" s="3"/>
      <c r="B972" s="3"/>
      <c r="C972" s="3"/>
      <c r="D972" s="3"/>
      <c r="E972" s="3"/>
      <c r="F972" s="3"/>
      <c r="G972" s="3"/>
    </row>
    <row r="973" spans="1:7" ht="18" customHeight="1" x14ac:dyDescent="0.35">
      <c r="A973" s="3"/>
      <c r="B973" s="3"/>
      <c r="C973" s="3"/>
      <c r="D973" s="3"/>
      <c r="E973" s="3"/>
      <c r="F973" s="3"/>
      <c r="G973" s="3"/>
    </row>
    <row r="974" spans="1:7" ht="18" customHeight="1" x14ac:dyDescent="0.35">
      <c r="A974" s="3"/>
      <c r="B974" s="3"/>
      <c r="C974" s="3"/>
      <c r="D974" s="3"/>
      <c r="E974" s="3"/>
      <c r="F974" s="3"/>
      <c r="G974" s="3"/>
    </row>
    <row r="975" spans="1:7" ht="18" customHeight="1" x14ac:dyDescent="0.35">
      <c r="A975" s="3"/>
      <c r="B975" s="3"/>
      <c r="C975" s="3"/>
      <c r="D975" s="3"/>
      <c r="E975" s="3"/>
      <c r="F975" s="3"/>
      <c r="G975" s="3"/>
    </row>
    <row r="976" spans="1:7" ht="18" customHeight="1" x14ac:dyDescent="0.35">
      <c r="A976" s="3"/>
      <c r="B976" s="3"/>
      <c r="C976" s="3"/>
      <c r="D976" s="3"/>
      <c r="E976" s="3"/>
      <c r="F976" s="3"/>
      <c r="G976" s="3"/>
    </row>
    <row r="977" spans="1:7" ht="18" customHeight="1" x14ac:dyDescent="0.35">
      <c r="A977" s="3"/>
      <c r="B977" s="3"/>
      <c r="C977" s="3"/>
      <c r="D977" s="3"/>
      <c r="E977" s="3"/>
      <c r="F977" s="3"/>
      <c r="G977" s="3"/>
    </row>
    <row r="978" spans="1:7" ht="18" customHeight="1" x14ac:dyDescent="0.35">
      <c r="A978" s="3"/>
      <c r="B978" s="3"/>
      <c r="C978" s="3"/>
      <c r="D978" s="3"/>
      <c r="E978" s="3"/>
      <c r="F978" s="3"/>
      <c r="G978" s="3"/>
    </row>
    <row r="979" spans="1:7" ht="18" customHeight="1" x14ac:dyDescent="0.35">
      <c r="A979" s="3"/>
      <c r="B979" s="3"/>
      <c r="C979" s="3"/>
      <c r="D979" s="3"/>
      <c r="E979" s="3"/>
      <c r="F979" s="3"/>
      <c r="G979" s="3"/>
    </row>
    <row r="980" spans="1:7" ht="18" customHeight="1" x14ac:dyDescent="0.35">
      <c r="A980" s="3"/>
      <c r="B980" s="3"/>
      <c r="C980" s="3"/>
      <c r="D980" s="3"/>
      <c r="E980" s="3"/>
      <c r="F980" s="3"/>
      <c r="G980" s="3"/>
    </row>
    <row r="981" spans="1:7" ht="18" customHeight="1" x14ac:dyDescent="0.35">
      <c r="A981" s="3"/>
      <c r="B981" s="3"/>
      <c r="C981" s="3"/>
      <c r="D981" s="3"/>
      <c r="E981" s="3"/>
      <c r="F981" s="3"/>
      <c r="G981" s="3"/>
    </row>
    <row r="982" spans="1:7" ht="18" customHeight="1" x14ac:dyDescent="0.35">
      <c r="A982" s="3"/>
      <c r="B982" s="3"/>
      <c r="C982" s="3"/>
      <c r="D982" s="3"/>
      <c r="E982" s="3"/>
      <c r="F982" s="3"/>
      <c r="G982" s="3"/>
    </row>
    <row r="983" spans="1:7" ht="18" customHeight="1" x14ac:dyDescent="0.35">
      <c r="A983" s="3"/>
      <c r="B983" s="3"/>
      <c r="C983" s="3"/>
      <c r="D983" s="3"/>
      <c r="E983" s="3"/>
      <c r="F983" s="3"/>
      <c r="G983" s="3"/>
    </row>
    <row r="984" spans="1:7" ht="18" customHeight="1" x14ac:dyDescent="0.35">
      <c r="A984" s="3"/>
      <c r="B984" s="3"/>
      <c r="C984" s="3"/>
      <c r="D984" s="3"/>
      <c r="E984" s="3"/>
      <c r="F984" s="3"/>
      <c r="G984" s="3"/>
    </row>
    <row r="985" spans="1:7" ht="18" customHeight="1" x14ac:dyDescent="0.35">
      <c r="A985" s="3"/>
      <c r="B985" s="3"/>
      <c r="C985" s="3"/>
      <c r="D985" s="3"/>
      <c r="E985" s="3"/>
      <c r="F985" s="3"/>
      <c r="G985" s="3"/>
    </row>
    <row r="986" spans="1:7" ht="18" customHeight="1" x14ac:dyDescent="0.35">
      <c r="A986" s="3"/>
      <c r="B986" s="3"/>
      <c r="C986" s="3"/>
      <c r="D986" s="3"/>
      <c r="E986" s="3"/>
      <c r="F986" s="3"/>
      <c r="G986" s="3"/>
    </row>
    <row r="987" spans="1:7" ht="18" customHeight="1" x14ac:dyDescent="0.35">
      <c r="A987" s="3"/>
      <c r="B987" s="3"/>
      <c r="C987" s="3"/>
      <c r="D987" s="3"/>
      <c r="E987" s="3"/>
      <c r="F987" s="3"/>
      <c r="G987" s="3"/>
    </row>
    <row r="988" spans="1:7" ht="18" customHeight="1" x14ac:dyDescent="0.35">
      <c r="A988" s="3"/>
      <c r="B988" s="3"/>
      <c r="C988" s="3"/>
      <c r="D988" s="3"/>
      <c r="E988" s="3"/>
      <c r="F988" s="3"/>
      <c r="G988" s="3"/>
    </row>
    <row r="989" spans="1:7" ht="18" customHeight="1" x14ac:dyDescent="0.35">
      <c r="A989" s="3"/>
      <c r="B989" s="3"/>
      <c r="C989" s="3"/>
      <c r="D989" s="3"/>
      <c r="E989" s="3"/>
      <c r="F989" s="3"/>
      <c r="G989" s="3"/>
    </row>
    <row r="990" spans="1:7" ht="18" customHeight="1" x14ac:dyDescent="0.35">
      <c r="A990" s="3"/>
      <c r="B990" s="3"/>
      <c r="C990" s="3"/>
      <c r="D990" s="3"/>
      <c r="E990" s="3"/>
      <c r="F990" s="3"/>
      <c r="G990" s="3"/>
    </row>
    <row r="991" spans="1:7" ht="18" customHeight="1" x14ac:dyDescent="0.35">
      <c r="A991" s="3"/>
      <c r="B991" s="3"/>
      <c r="C991" s="3"/>
      <c r="D991" s="3"/>
      <c r="E991" s="3"/>
      <c r="F991" s="3"/>
      <c r="G991" s="3"/>
    </row>
    <row r="992" spans="1:7" ht="18" customHeight="1" x14ac:dyDescent="0.35">
      <c r="A992" s="3"/>
      <c r="B992" s="3"/>
      <c r="C992" s="3"/>
      <c r="D992" s="3"/>
      <c r="E992" s="3"/>
      <c r="F992" s="3"/>
      <c r="G992" s="3"/>
    </row>
    <row r="993" spans="1:7" ht="18" customHeight="1" x14ac:dyDescent="0.35">
      <c r="A993" s="3"/>
      <c r="B993" s="3"/>
      <c r="C993" s="3"/>
      <c r="D993" s="3"/>
      <c r="E993" s="3"/>
      <c r="F993" s="3"/>
      <c r="G993" s="3"/>
    </row>
    <row r="994" spans="1:7" ht="18" customHeight="1" x14ac:dyDescent="0.35">
      <c r="A994" s="3"/>
      <c r="B994" s="3"/>
      <c r="C994" s="3"/>
      <c r="D994" s="3"/>
      <c r="E994" s="3"/>
      <c r="F994" s="3"/>
      <c r="G994" s="3"/>
    </row>
    <row r="995" spans="1:7" ht="18" customHeight="1" x14ac:dyDescent="0.35">
      <c r="A995" s="3"/>
      <c r="B995" s="3"/>
      <c r="C995" s="3"/>
      <c r="D995" s="3"/>
      <c r="E995" s="3"/>
      <c r="F995" s="3"/>
      <c r="G995" s="3"/>
    </row>
    <row r="996" spans="1:7" ht="18" customHeight="1" x14ac:dyDescent="0.35">
      <c r="A996" s="3"/>
      <c r="B996" s="3"/>
      <c r="C996" s="3"/>
      <c r="D996" s="3"/>
      <c r="E996" s="3"/>
      <c r="F996" s="3"/>
      <c r="G996" s="3"/>
    </row>
    <row r="997" spans="1:7" ht="18" customHeight="1" x14ac:dyDescent="0.35">
      <c r="A997" s="3"/>
      <c r="B997" s="3"/>
      <c r="C997" s="3"/>
      <c r="D997" s="3"/>
      <c r="E997" s="3"/>
      <c r="F997" s="3"/>
      <c r="G997" s="3"/>
    </row>
    <row r="998" spans="1:7" ht="18" customHeight="1" x14ac:dyDescent="0.35">
      <c r="A998" s="3"/>
      <c r="B998" s="3"/>
      <c r="C998" s="3"/>
      <c r="D998" s="3"/>
      <c r="E998" s="3"/>
      <c r="F998" s="3"/>
      <c r="G998" s="3"/>
    </row>
    <row r="999" spans="1:7" ht="18" customHeight="1" x14ac:dyDescent="0.35">
      <c r="A999" s="3"/>
      <c r="B999" s="3"/>
      <c r="C999" s="3"/>
      <c r="D999" s="3"/>
      <c r="E999" s="3"/>
      <c r="F999" s="3"/>
      <c r="G999" s="3"/>
    </row>
    <row r="1000" spans="1:7" ht="18" customHeight="1" x14ac:dyDescent="0.35">
      <c r="A1000" s="3"/>
      <c r="B1000" s="3"/>
      <c r="C1000" s="3"/>
      <c r="D1000" s="3"/>
      <c r="E1000" s="3"/>
      <c r="F1000" s="3"/>
      <c r="G1000" s="3"/>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1C89-E437-4A1C-8CF6-ED2167A5B26A}">
  <dimension ref="A3:B12"/>
  <sheetViews>
    <sheetView workbookViewId="0">
      <selection activeCell="B8" sqref="B8"/>
    </sheetView>
  </sheetViews>
  <sheetFormatPr defaultRowHeight="14.5" x14ac:dyDescent="0.35"/>
  <cols>
    <col min="1" max="1" width="12.36328125" bestFit="1" customWidth="1"/>
    <col min="2" max="2" width="12.26953125" bestFit="1" customWidth="1"/>
    <col min="3" max="3" width="12" bestFit="1" customWidth="1"/>
  </cols>
  <sheetData>
    <row r="3" spans="1:2" x14ac:dyDescent="0.35">
      <c r="A3" s="17" t="s">
        <v>70</v>
      </c>
      <c r="B3" t="s">
        <v>92</v>
      </c>
    </row>
    <row r="4" spans="1:2" x14ac:dyDescent="0.35">
      <c r="A4" s="18" t="s">
        <v>6</v>
      </c>
      <c r="B4" s="20">
        <v>17427.350000000002</v>
      </c>
    </row>
    <row r="5" spans="1:2" x14ac:dyDescent="0.35">
      <c r="A5" s="18" t="s">
        <v>13</v>
      </c>
      <c r="B5" s="20">
        <v>20234.25</v>
      </c>
    </row>
    <row r="6" spans="1:2" x14ac:dyDescent="0.35">
      <c r="A6" s="18" t="s">
        <v>19</v>
      </c>
      <c r="B6" s="20">
        <v>21144.15</v>
      </c>
    </row>
    <row r="7" spans="1:2" x14ac:dyDescent="0.35">
      <c r="A7" s="18" t="s">
        <v>25</v>
      </c>
      <c r="B7" s="20">
        <v>21501.4</v>
      </c>
    </row>
    <row r="8" spans="1:2" x14ac:dyDescent="0.35">
      <c r="A8" s="18" t="s">
        <v>31</v>
      </c>
      <c r="B8" s="20">
        <v>42687.099999999991</v>
      </c>
    </row>
    <row r="9" spans="1:2" x14ac:dyDescent="0.35">
      <c r="A9" s="18" t="s">
        <v>36</v>
      </c>
      <c r="B9" s="20">
        <v>30824.000000000004</v>
      </c>
    </row>
    <row r="10" spans="1:2" x14ac:dyDescent="0.35">
      <c r="A10" s="18" t="s">
        <v>39</v>
      </c>
      <c r="B10" s="20">
        <v>12846.6</v>
      </c>
    </row>
    <row r="11" spans="1:2" x14ac:dyDescent="0.35">
      <c r="A11" s="18" t="s">
        <v>43</v>
      </c>
      <c r="B11" s="20">
        <v>14691.150000000001</v>
      </c>
    </row>
    <row r="12" spans="1:2" x14ac:dyDescent="0.35">
      <c r="A12" s="18" t="s">
        <v>71</v>
      </c>
      <c r="B12" s="20">
        <v>181356</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46ED-5924-440A-8AD3-3D25EE8159F4}">
  <sheetPr>
    <tabColor rgb="FF7030A0"/>
  </sheetPr>
  <dimension ref="A3:B8"/>
  <sheetViews>
    <sheetView workbookViewId="0">
      <selection activeCell="B5" sqref="B5"/>
    </sheetView>
  </sheetViews>
  <sheetFormatPr defaultRowHeight="14.5" x14ac:dyDescent="0.35"/>
  <cols>
    <col min="1" max="1" width="12.36328125" bestFit="1" customWidth="1"/>
    <col min="2" max="2" width="15.54296875" bestFit="1" customWidth="1"/>
  </cols>
  <sheetData>
    <row r="3" spans="1:2" x14ac:dyDescent="0.35">
      <c r="A3" s="17" t="s">
        <v>70</v>
      </c>
      <c r="B3" t="s">
        <v>74</v>
      </c>
    </row>
    <row r="4" spans="1:2" x14ac:dyDescent="0.35">
      <c r="A4" s="18" t="s">
        <v>79</v>
      </c>
      <c r="B4" s="20">
        <v>976</v>
      </c>
    </row>
    <row r="5" spans="1:2" x14ac:dyDescent="0.35">
      <c r="A5" s="18" t="s">
        <v>80</v>
      </c>
      <c r="B5" s="20">
        <v>876</v>
      </c>
    </row>
    <row r="6" spans="1:2" x14ac:dyDescent="0.35">
      <c r="A6" s="18" t="s">
        <v>81</v>
      </c>
      <c r="B6" s="20">
        <v>705</v>
      </c>
    </row>
    <row r="7" spans="1:2" x14ac:dyDescent="0.35">
      <c r="A7" s="18" t="s">
        <v>82</v>
      </c>
      <c r="B7" s="20">
        <v>1507</v>
      </c>
    </row>
    <row r="8" spans="1:2" x14ac:dyDescent="0.35">
      <c r="A8" s="18" t="s">
        <v>71</v>
      </c>
      <c r="B8" s="20">
        <v>4064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F28B-96E4-4503-B081-460A64EFC21B}">
  <dimension ref="A1:AH128"/>
  <sheetViews>
    <sheetView topLeftCell="AA1" zoomScaleNormal="100" workbookViewId="0">
      <selection activeCell="AJ21" sqref="AJ21"/>
    </sheetView>
  </sheetViews>
  <sheetFormatPr defaultRowHeight="14.5" x14ac:dyDescent="0.35"/>
  <cols>
    <col min="1" max="1" width="14.36328125" bestFit="1" customWidth="1"/>
    <col min="2" max="2" width="15.26953125" bestFit="1" customWidth="1"/>
    <col min="3" max="3" width="10.1796875" bestFit="1" customWidth="1"/>
    <col min="4" max="4" width="7.81640625" bestFit="1" customWidth="1"/>
    <col min="5" max="5" width="10.7265625" bestFit="1" customWidth="1"/>
    <col min="10" max="10" width="16" bestFit="1" customWidth="1"/>
    <col min="11" max="11" width="25.90625" bestFit="1" customWidth="1"/>
    <col min="12" max="14" width="4.6328125" bestFit="1" customWidth="1"/>
    <col min="15" max="15" width="10.7265625" bestFit="1" customWidth="1"/>
    <col min="16" max="16" width="5.81640625" bestFit="1" customWidth="1"/>
    <col min="17" max="18" width="15.26953125" bestFit="1" customWidth="1"/>
    <col min="19" max="19" width="8.26953125" bestFit="1" customWidth="1"/>
    <col min="20" max="20" width="6.1796875" bestFit="1" customWidth="1"/>
    <col min="21" max="21" width="4.7265625" bestFit="1" customWidth="1"/>
    <col min="22" max="22" width="4.453125" bestFit="1" customWidth="1"/>
    <col min="23" max="23" width="4.6328125" bestFit="1" customWidth="1"/>
    <col min="24" max="24" width="3.90625" bestFit="1" customWidth="1"/>
    <col min="25" max="25" width="6.6328125" bestFit="1" customWidth="1"/>
    <col min="26" max="26" width="10" bestFit="1" customWidth="1"/>
    <col min="27" max="27" width="7.6328125" bestFit="1" customWidth="1"/>
    <col min="28" max="28" width="9.54296875" bestFit="1" customWidth="1"/>
    <col min="29" max="29" width="9.36328125" bestFit="1" customWidth="1"/>
    <col min="30" max="30" width="10.7265625" bestFit="1" customWidth="1"/>
    <col min="31" max="31" width="4.453125" bestFit="1" customWidth="1"/>
    <col min="32" max="32" width="4.6328125" bestFit="1" customWidth="1"/>
    <col min="33" max="33" width="3.90625" bestFit="1" customWidth="1"/>
    <col min="34" max="34" width="6.6328125" bestFit="1" customWidth="1"/>
    <col min="35" max="35" width="7.6328125" bestFit="1" customWidth="1"/>
    <col min="36" max="36" width="9.36328125" bestFit="1" customWidth="1"/>
    <col min="37" max="37" width="9.08984375" bestFit="1" customWidth="1"/>
    <col min="38" max="38" width="7.54296875" bestFit="1" customWidth="1"/>
    <col min="39" max="39" width="8.26953125" bestFit="1" customWidth="1"/>
    <col min="40" max="40" width="6.1796875" bestFit="1" customWidth="1"/>
    <col min="41" max="41" width="4.7265625" bestFit="1" customWidth="1"/>
    <col min="42" max="42" width="4.453125" bestFit="1" customWidth="1"/>
    <col min="43" max="43" width="3.90625" bestFit="1" customWidth="1"/>
    <col min="44" max="44" width="6.6328125" bestFit="1" customWidth="1"/>
    <col min="45" max="45" width="10" bestFit="1" customWidth="1"/>
    <col min="46" max="46" width="7.6328125" bestFit="1" customWidth="1"/>
    <col min="47" max="47" width="9.54296875" bestFit="1" customWidth="1"/>
    <col min="48" max="48" width="9.36328125" bestFit="1" customWidth="1"/>
    <col min="49" max="49" width="10.453125" bestFit="1" customWidth="1"/>
    <col min="50" max="50" width="7.54296875" bestFit="1" customWidth="1"/>
    <col min="51" max="51" width="8.26953125" bestFit="1" customWidth="1"/>
    <col min="52" max="52" width="6.1796875" bestFit="1" customWidth="1"/>
    <col min="53" max="53" width="4.7265625" bestFit="1" customWidth="1"/>
    <col min="54" max="54" width="4.453125" bestFit="1" customWidth="1"/>
    <col min="55" max="55" width="4.6328125" bestFit="1" customWidth="1"/>
    <col min="56" max="56" width="3.90625" bestFit="1" customWidth="1"/>
    <col min="57" max="57" width="6.6328125" bestFit="1" customWidth="1"/>
    <col min="58" max="58" width="7.6328125" bestFit="1" customWidth="1"/>
    <col min="59" max="59" width="9.54296875" bestFit="1" customWidth="1"/>
    <col min="60" max="60" width="9.36328125" bestFit="1" customWidth="1"/>
    <col min="61" max="61" width="10.453125" bestFit="1" customWidth="1"/>
    <col min="62" max="62" width="7" bestFit="1" customWidth="1"/>
    <col min="63" max="63" width="4.6328125" bestFit="1" customWidth="1"/>
    <col min="64" max="64" width="3.90625" bestFit="1" customWidth="1"/>
    <col min="65" max="65" width="10" bestFit="1" customWidth="1"/>
    <col min="66" max="66" width="7.6328125" bestFit="1" customWidth="1"/>
    <col min="67" max="67" width="9.54296875" bestFit="1" customWidth="1"/>
    <col min="68" max="68" width="9.36328125" bestFit="1" customWidth="1"/>
    <col min="69" max="69" width="9.90625" bestFit="1" customWidth="1"/>
    <col min="70" max="70" width="10.7265625" bestFit="1" customWidth="1"/>
    <col min="71" max="97" width="10.08984375" bestFit="1" customWidth="1"/>
    <col min="98" max="98" width="10.7265625" bestFit="1" customWidth="1"/>
    <col min="99" max="108" width="5.81640625" bestFit="1" customWidth="1"/>
    <col min="109" max="110" width="6.81640625" bestFit="1" customWidth="1"/>
    <col min="111" max="111" width="10.7265625" bestFit="1" customWidth="1"/>
  </cols>
  <sheetData>
    <row r="1" spans="1:34" x14ac:dyDescent="0.35">
      <c r="Q1" s="21" t="s">
        <v>118</v>
      </c>
    </row>
    <row r="2" spans="1:34" x14ac:dyDescent="0.35">
      <c r="I2">
        <v>2</v>
      </c>
      <c r="J2" s="21" t="s">
        <v>103</v>
      </c>
      <c r="AH2" s="21"/>
    </row>
    <row r="3" spans="1:34" x14ac:dyDescent="0.35">
      <c r="A3" s="17" t="s">
        <v>72</v>
      </c>
      <c r="B3" s="17" t="s">
        <v>94</v>
      </c>
      <c r="Q3" s="17" t="s">
        <v>117</v>
      </c>
      <c r="R3" s="17" t="s">
        <v>94</v>
      </c>
    </row>
    <row r="4" spans="1:34" x14ac:dyDescent="0.35">
      <c r="A4" s="17" t="s">
        <v>70</v>
      </c>
      <c r="B4" t="s">
        <v>15</v>
      </c>
      <c r="C4" t="s">
        <v>27</v>
      </c>
      <c r="D4" t="s">
        <v>8</v>
      </c>
      <c r="E4" t="s">
        <v>71</v>
      </c>
      <c r="J4" s="17" t="s">
        <v>70</v>
      </c>
      <c r="K4" t="s">
        <v>102</v>
      </c>
      <c r="Q4" s="17" t="s">
        <v>70</v>
      </c>
      <c r="R4" t="s">
        <v>112</v>
      </c>
      <c r="S4" t="s">
        <v>113</v>
      </c>
      <c r="T4" t="s">
        <v>114</v>
      </c>
      <c r="U4" t="s">
        <v>115</v>
      </c>
      <c r="V4" t="s">
        <v>105</v>
      </c>
      <c r="W4" t="s">
        <v>106</v>
      </c>
      <c r="X4" t="s">
        <v>107</v>
      </c>
      <c r="Y4" t="s">
        <v>116</v>
      </c>
      <c r="Z4" t="s">
        <v>108</v>
      </c>
      <c r="AA4" t="s">
        <v>109</v>
      </c>
      <c r="AB4" t="s">
        <v>110</v>
      </c>
      <c r="AC4" t="s">
        <v>111</v>
      </c>
      <c r="AD4" t="s">
        <v>71</v>
      </c>
    </row>
    <row r="5" spans="1:34" x14ac:dyDescent="0.35">
      <c r="A5" s="18" t="s">
        <v>79</v>
      </c>
      <c r="B5" s="20">
        <v>449611</v>
      </c>
      <c r="C5" s="20"/>
      <c r="D5" s="20">
        <v>982872</v>
      </c>
      <c r="E5" s="20">
        <v>1432483</v>
      </c>
      <c r="J5" s="18" t="s">
        <v>26</v>
      </c>
      <c r="K5" s="20">
        <v>15</v>
      </c>
      <c r="Q5" s="18" t="s">
        <v>34</v>
      </c>
      <c r="R5" s="28"/>
      <c r="S5" s="28">
        <v>1</v>
      </c>
      <c r="T5" s="28">
        <v>1</v>
      </c>
      <c r="U5" s="28"/>
      <c r="V5" s="28">
        <v>2</v>
      </c>
      <c r="W5" s="28">
        <v>1</v>
      </c>
      <c r="X5" s="28">
        <v>2</v>
      </c>
      <c r="Y5" s="28"/>
      <c r="Z5" s="28">
        <v>1</v>
      </c>
      <c r="AA5" s="28">
        <v>2</v>
      </c>
      <c r="AB5" s="28">
        <v>3</v>
      </c>
      <c r="AC5" s="28">
        <v>2</v>
      </c>
      <c r="AD5" s="20">
        <v>15</v>
      </c>
    </row>
    <row r="6" spans="1:34" x14ac:dyDescent="0.35">
      <c r="A6" s="18" t="s">
        <v>80</v>
      </c>
      <c r="B6" s="20">
        <v>231500</v>
      </c>
      <c r="C6" s="20">
        <v>110468</v>
      </c>
      <c r="D6" s="20">
        <v>856594</v>
      </c>
      <c r="E6" s="20">
        <v>1198562</v>
      </c>
      <c r="J6" s="19" t="s">
        <v>101</v>
      </c>
      <c r="K6" s="20">
        <v>5</v>
      </c>
      <c r="Q6" s="18" t="s">
        <v>22</v>
      </c>
      <c r="R6" s="28">
        <v>2</v>
      </c>
      <c r="S6" s="28">
        <v>4</v>
      </c>
      <c r="T6" s="28">
        <v>1</v>
      </c>
      <c r="U6" s="28"/>
      <c r="V6" s="28">
        <v>3</v>
      </c>
      <c r="W6" s="28">
        <v>1</v>
      </c>
      <c r="X6" s="28">
        <v>1</v>
      </c>
      <c r="Y6" s="28">
        <v>2</v>
      </c>
      <c r="Z6" s="28"/>
      <c r="AA6" s="28">
        <v>4</v>
      </c>
      <c r="AB6" s="28"/>
      <c r="AC6" s="28">
        <v>3</v>
      </c>
      <c r="AD6" s="20">
        <v>21</v>
      </c>
    </row>
    <row r="7" spans="1:34" x14ac:dyDescent="0.35">
      <c r="A7" s="18" t="s">
        <v>81</v>
      </c>
      <c r="B7" s="20">
        <v>119878</v>
      </c>
      <c r="C7" s="20">
        <v>284448</v>
      </c>
      <c r="D7" s="20">
        <v>611296</v>
      </c>
      <c r="E7" s="20">
        <v>1015622</v>
      </c>
      <c r="J7" s="27">
        <v>45120</v>
      </c>
      <c r="K7" s="20">
        <v>1</v>
      </c>
      <c r="Q7" s="18" t="s">
        <v>10</v>
      </c>
      <c r="R7" s="28">
        <v>1</v>
      </c>
      <c r="S7" s="28">
        <v>3</v>
      </c>
      <c r="T7" s="28">
        <v>1</v>
      </c>
      <c r="U7" s="28">
        <v>1</v>
      </c>
      <c r="V7" s="28">
        <v>2</v>
      </c>
      <c r="W7" s="28"/>
      <c r="X7" s="28">
        <v>2</v>
      </c>
      <c r="Y7" s="28">
        <v>1</v>
      </c>
      <c r="Z7" s="28">
        <v>1</v>
      </c>
      <c r="AA7" s="28">
        <v>3</v>
      </c>
      <c r="AB7" s="28">
        <v>3</v>
      </c>
      <c r="AC7" s="28">
        <v>4</v>
      </c>
      <c r="AD7" s="20">
        <v>22</v>
      </c>
    </row>
    <row r="8" spans="1:34" x14ac:dyDescent="0.35">
      <c r="A8" s="18" t="s">
        <v>82</v>
      </c>
      <c r="B8" s="20">
        <v>696575</v>
      </c>
      <c r="C8" s="20">
        <v>315508</v>
      </c>
      <c r="D8" s="20">
        <v>1202531</v>
      </c>
      <c r="E8" s="20">
        <v>2214614</v>
      </c>
      <c r="J8" s="27">
        <v>45179</v>
      </c>
      <c r="K8" s="20">
        <v>1</v>
      </c>
      <c r="Q8" s="18" t="s">
        <v>17</v>
      </c>
      <c r="R8" s="28">
        <v>3</v>
      </c>
      <c r="S8" s="28">
        <v>4</v>
      </c>
      <c r="T8" s="28">
        <v>2</v>
      </c>
      <c r="U8" s="28">
        <v>3</v>
      </c>
      <c r="V8" s="28">
        <v>1</v>
      </c>
      <c r="W8" s="28">
        <v>3</v>
      </c>
      <c r="X8" s="28">
        <v>1</v>
      </c>
      <c r="Y8" s="28">
        <v>1</v>
      </c>
      <c r="Z8" s="28"/>
      <c r="AA8" s="28">
        <v>2</v>
      </c>
      <c r="AB8" s="28">
        <v>3</v>
      </c>
      <c r="AC8" s="28">
        <v>4</v>
      </c>
      <c r="AD8" s="20">
        <v>27</v>
      </c>
    </row>
    <row r="9" spans="1:34" x14ac:dyDescent="0.35">
      <c r="A9" s="18" t="s">
        <v>71</v>
      </c>
      <c r="B9" s="20">
        <v>1497564</v>
      </c>
      <c r="C9" s="20">
        <v>710424</v>
      </c>
      <c r="D9" s="20">
        <v>3653293</v>
      </c>
      <c r="E9" s="20">
        <v>5861281</v>
      </c>
      <c r="J9" s="27">
        <v>45192</v>
      </c>
      <c r="K9" s="20">
        <v>1</v>
      </c>
      <c r="Q9" s="18" t="s">
        <v>29</v>
      </c>
      <c r="R9" s="28"/>
      <c r="S9" s="28"/>
      <c r="T9" s="28"/>
      <c r="U9" s="28"/>
      <c r="V9" s="28">
        <v>2</v>
      </c>
      <c r="W9" s="28">
        <v>1</v>
      </c>
      <c r="X9" s="28">
        <v>4</v>
      </c>
      <c r="Y9" s="28"/>
      <c r="Z9" s="28">
        <v>2</v>
      </c>
      <c r="AA9" s="28">
        <v>3</v>
      </c>
      <c r="AB9" s="28">
        <v>1</v>
      </c>
      <c r="AC9" s="28">
        <v>2</v>
      </c>
      <c r="AD9" s="20">
        <v>15</v>
      </c>
      <c r="AH9" s="21"/>
    </row>
    <row r="10" spans="1:34" x14ac:dyDescent="0.35">
      <c r="J10" s="27">
        <v>45217</v>
      </c>
      <c r="K10" s="20">
        <v>1</v>
      </c>
      <c r="Q10" s="18" t="s">
        <v>71</v>
      </c>
      <c r="R10" s="28">
        <v>6</v>
      </c>
      <c r="S10" s="28">
        <v>12</v>
      </c>
      <c r="T10" s="28">
        <v>5</v>
      </c>
      <c r="U10" s="28">
        <v>4</v>
      </c>
      <c r="V10" s="28">
        <v>10</v>
      </c>
      <c r="W10" s="28">
        <v>6</v>
      </c>
      <c r="X10" s="28">
        <v>10</v>
      </c>
      <c r="Y10" s="28">
        <v>4</v>
      </c>
      <c r="Z10" s="28">
        <v>4</v>
      </c>
      <c r="AA10" s="28">
        <v>14</v>
      </c>
      <c r="AB10" s="28">
        <v>10</v>
      </c>
      <c r="AC10" s="28">
        <v>15</v>
      </c>
      <c r="AD10" s="28">
        <v>100</v>
      </c>
    </row>
    <row r="11" spans="1:34" x14ac:dyDescent="0.35">
      <c r="B11" s="21" t="s">
        <v>119</v>
      </c>
      <c r="J11" s="27">
        <v>45285</v>
      </c>
      <c r="K11" s="20">
        <v>1</v>
      </c>
    </row>
    <row r="12" spans="1:34" x14ac:dyDescent="0.35">
      <c r="B12" t="s">
        <v>95</v>
      </c>
      <c r="C12" t="s">
        <v>15</v>
      </c>
      <c r="J12" s="19" t="s">
        <v>100</v>
      </c>
      <c r="K12" s="20">
        <v>10</v>
      </c>
    </row>
    <row r="13" spans="1:34" x14ac:dyDescent="0.35">
      <c r="B13" t="s">
        <v>96</v>
      </c>
      <c r="C13" s="26" t="s">
        <v>8</v>
      </c>
      <c r="J13" s="27">
        <v>45054</v>
      </c>
      <c r="K13" s="20">
        <v>1</v>
      </c>
    </row>
    <row r="14" spans="1:34" x14ac:dyDescent="0.35">
      <c r="B14" t="s">
        <v>97</v>
      </c>
      <c r="C14" s="26" t="s">
        <v>8</v>
      </c>
      <c r="J14" s="27">
        <v>45068</v>
      </c>
      <c r="K14" s="20">
        <v>1</v>
      </c>
    </row>
    <row r="15" spans="1:34" x14ac:dyDescent="0.35">
      <c r="B15" t="s">
        <v>98</v>
      </c>
      <c r="C15" s="26" t="s">
        <v>8</v>
      </c>
      <c r="J15" s="27">
        <v>45105</v>
      </c>
      <c r="K15" s="20">
        <v>1</v>
      </c>
    </row>
    <row r="16" spans="1:34" x14ac:dyDescent="0.35">
      <c r="J16" s="27">
        <v>45123</v>
      </c>
      <c r="K16" s="20">
        <v>1</v>
      </c>
    </row>
    <row r="17" spans="10:11" x14ac:dyDescent="0.35">
      <c r="J17" s="27">
        <v>45124</v>
      </c>
      <c r="K17" s="20">
        <v>1</v>
      </c>
    </row>
    <row r="18" spans="10:11" x14ac:dyDescent="0.35">
      <c r="J18" s="27">
        <v>45132</v>
      </c>
      <c r="K18" s="20">
        <v>1</v>
      </c>
    </row>
    <row r="19" spans="10:11" x14ac:dyDescent="0.35">
      <c r="J19" s="27">
        <v>45215</v>
      </c>
      <c r="K19" s="20">
        <v>1</v>
      </c>
    </row>
    <row r="20" spans="10:11" x14ac:dyDescent="0.35">
      <c r="J20" s="27">
        <v>45216</v>
      </c>
      <c r="K20" s="20">
        <v>1</v>
      </c>
    </row>
    <row r="21" spans="10:11" x14ac:dyDescent="0.35">
      <c r="J21" s="27">
        <v>45258</v>
      </c>
      <c r="K21" s="20">
        <v>1</v>
      </c>
    </row>
    <row r="22" spans="10:11" x14ac:dyDescent="0.35">
      <c r="J22" s="27">
        <v>45285</v>
      </c>
      <c r="K22" s="20">
        <v>1</v>
      </c>
    </row>
    <row r="23" spans="10:11" x14ac:dyDescent="0.35">
      <c r="J23" s="18" t="s">
        <v>37</v>
      </c>
      <c r="K23" s="20">
        <v>14</v>
      </c>
    </row>
    <row r="24" spans="10:11" x14ac:dyDescent="0.35">
      <c r="J24" s="19" t="s">
        <v>101</v>
      </c>
      <c r="K24" s="20">
        <v>2</v>
      </c>
    </row>
    <row r="25" spans="10:11" x14ac:dyDescent="0.35">
      <c r="J25" s="27">
        <v>45092</v>
      </c>
      <c r="K25" s="20">
        <v>1</v>
      </c>
    </row>
    <row r="26" spans="10:11" x14ac:dyDescent="0.35">
      <c r="J26" s="27">
        <v>45164</v>
      </c>
      <c r="K26" s="20">
        <v>1</v>
      </c>
    </row>
    <row r="27" spans="10:11" x14ac:dyDescent="0.35">
      <c r="J27" s="19" t="s">
        <v>100</v>
      </c>
      <c r="K27" s="20">
        <v>12</v>
      </c>
    </row>
    <row r="28" spans="10:11" x14ac:dyDescent="0.35">
      <c r="J28" s="27">
        <v>44944</v>
      </c>
      <c r="K28" s="20">
        <v>1</v>
      </c>
    </row>
    <row r="29" spans="10:11" x14ac:dyDescent="0.35">
      <c r="J29" s="27">
        <v>44970</v>
      </c>
      <c r="K29" s="20">
        <v>1</v>
      </c>
    </row>
    <row r="30" spans="10:11" x14ac:dyDescent="0.35">
      <c r="J30" s="27">
        <v>44992</v>
      </c>
      <c r="K30" s="20">
        <v>1</v>
      </c>
    </row>
    <row r="31" spans="10:11" x14ac:dyDescent="0.35">
      <c r="J31" s="27">
        <v>45011</v>
      </c>
      <c r="K31" s="20">
        <v>1</v>
      </c>
    </row>
    <row r="32" spans="10:11" x14ac:dyDescent="0.35">
      <c r="J32" s="27">
        <v>45017</v>
      </c>
      <c r="K32" s="20">
        <v>1</v>
      </c>
    </row>
    <row r="33" spans="10:11" x14ac:dyDescent="0.35">
      <c r="J33" s="27">
        <v>45028</v>
      </c>
      <c r="K33" s="20">
        <v>1</v>
      </c>
    </row>
    <row r="34" spans="10:11" x14ac:dyDescent="0.35">
      <c r="J34" s="27">
        <v>45084</v>
      </c>
      <c r="K34" s="20">
        <v>1</v>
      </c>
    </row>
    <row r="35" spans="10:11" x14ac:dyDescent="0.35">
      <c r="J35" s="27">
        <v>45088</v>
      </c>
      <c r="K35" s="20">
        <v>1</v>
      </c>
    </row>
    <row r="36" spans="10:11" x14ac:dyDescent="0.35">
      <c r="J36" s="27">
        <v>45128</v>
      </c>
      <c r="K36" s="20">
        <v>1</v>
      </c>
    </row>
    <row r="37" spans="10:11" x14ac:dyDescent="0.35">
      <c r="J37" s="27">
        <v>45210</v>
      </c>
      <c r="K37" s="20">
        <v>1</v>
      </c>
    </row>
    <row r="38" spans="10:11" x14ac:dyDescent="0.35">
      <c r="J38" s="27">
        <v>45252</v>
      </c>
      <c r="K38" s="20">
        <v>1</v>
      </c>
    </row>
    <row r="39" spans="10:11" x14ac:dyDescent="0.35">
      <c r="J39" s="27">
        <v>45283</v>
      </c>
      <c r="K39" s="20">
        <v>1</v>
      </c>
    </row>
    <row r="40" spans="10:11" x14ac:dyDescent="0.35">
      <c r="J40" s="18" t="s">
        <v>32</v>
      </c>
      <c r="K40" s="20">
        <v>15</v>
      </c>
    </row>
    <row r="41" spans="10:11" x14ac:dyDescent="0.35">
      <c r="J41" s="19" t="s">
        <v>101</v>
      </c>
      <c r="K41" s="20">
        <v>3</v>
      </c>
    </row>
    <row r="42" spans="10:11" x14ac:dyDescent="0.35">
      <c r="J42" s="27">
        <v>45194</v>
      </c>
      <c r="K42" s="20">
        <v>1</v>
      </c>
    </row>
    <row r="43" spans="10:11" x14ac:dyDescent="0.35">
      <c r="J43" s="27">
        <v>45206</v>
      </c>
      <c r="K43" s="20">
        <v>1</v>
      </c>
    </row>
    <row r="44" spans="10:11" x14ac:dyDescent="0.35">
      <c r="J44" s="27">
        <v>45208</v>
      </c>
      <c r="K44" s="20">
        <v>1</v>
      </c>
    </row>
    <row r="45" spans="10:11" x14ac:dyDescent="0.35">
      <c r="J45" s="19" t="s">
        <v>100</v>
      </c>
      <c r="K45" s="20">
        <v>12</v>
      </c>
    </row>
    <row r="46" spans="10:11" x14ac:dyDescent="0.35">
      <c r="J46" s="27">
        <v>44971</v>
      </c>
      <c r="K46" s="20">
        <v>1</v>
      </c>
    </row>
    <row r="47" spans="10:11" x14ac:dyDescent="0.35">
      <c r="J47" s="27">
        <v>44992</v>
      </c>
      <c r="K47" s="20">
        <v>1</v>
      </c>
    </row>
    <row r="48" spans="10:11" x14ac:dyDescent="0.35">
      <c r="J48" s="27">
        <v>45050</v>
      </c>
      <c r="K48" s="20">
        <v>1</v>
      </c>
    </row>
    <row r="49" spans="10:11" x14ac:dyDescent="0.35">
      <c r="J49" s="27">
        <v>45066</v>
      </c>
      <c r="K49" s="20">
        <v>1</v>
      </c>
    </row>
    <row r="50" spans="10:11" x14ac:dyDescent="0.35">
      <c r="J50" s="27">
        <v>45100</v>
      </c>
      <c r="K50" s="20">
        <v>1</v>
      </c>
    </row>
    <row r="51" spans="10:11" x14ac:dyDescent="0.35">
      <c r="J51" s="27">
        <v>45109</v>
      </c>
      <c r="K51" s="20">
        <v>1</v>
      </c>
    </row>
    <row r="52" spans="10:11" x14ac:dyDescent="0.35">
      <c r="J52" s="27">
        <v>45135</v>
      </c>
      <c r="K52" s="20">
        <v>1</v>
      </c>
    </row>
    <row r="53" spans="10:11" x14ac:dyDescent="0.35">
      <c r="J53" s="27">
        <v>45239</v>
      </c>
      <c r="K53" s="20">
        <v>1</v>
      </c>
    </row>
    <row r="54" spans="10:11" x14ac:dyDescent="0.35">
      <c r="J54" s="27">
        <v>45240</v>
      </c>
      <c r="K54" s="20">
        <v>1</v>
      </c>
    </row>
    <row r="55" spans="10:11" x14ac:dyDescent="0.35">
      <c r="J55" s="27">
        <v>45252</v>
      </c>
      <c r="K55" s="20">
        <v>1</v>
      </c>
    </row>
    <row r="56" spans="10:11" x14ac:dyDescent="0.35">
      <c r="J56" s="27">
        <v>45282</v>
      </c>
      <c r="K56" s="20">
        <v>1</v>
      </c>
    </row>
    <row r="57" spans="10:11" x14ac:dyDescent="0.35">
      <c r="J57" s="27">
        <v>45289</v>
      </c>
      <c r="K57" s="20">
        <v>1</v>
      </c>
    </row>
    <row r="58" spans="10:11" x14ac:dyDescent="0.35">
      <c r="J58" s="18" t="s">
        <v>44</v>
      </c>
      <c r="K58" s="20">
        <v>10</v>
      </c>
    </row>
    <row r="59" spans="10:11" x14ac:dyDescent="0.35">
      <c r="J59" s="19" t="s">
        <v>101</v>
      </c>
      <c r="K59" s="20">
        <v>6</v>
      </c>
    </row>
    <row r="60" spans="10:11" x14ac:dyDescent="0.35">
      <c r="J60" s="27">
        <v>44991</v>
      </c>
      <c r="K60" s="20">
        <v>1</v>
      </c>
    </row>
    <row r="61" spans="10:11" x14ac:dyDescent="0.35">
      <c r="J61" s="27">
        <v>45048</v>
      </c>
      <c r="K61" s="20">
        <v>1</v>
      </c>
    </row>
    <row r="62" spans="10:11" x14ac:dyDescent="0.35">
      <c r="J62" s="27">
        <v>45061</v>
      </c>
      <c r="K62" s="20">
        <v>1</v>
      </c>
    </row>
    <row r="63" spans="10:11" x14ac:dyDescent="0.35">
      <c r="J63" s="27">
        <v>45116</v>
      </c>
      <c r="K63" s="20">
        <v>1</v>
      </c>
    </row>
    <row r="64" spans="10:11" x14ac:dyDescent="0.35">
      <c r="J64" s="27">
        <v>45160</v>
      </c>
      <c r="K64" s="20">
        <v>1</v>
      </c>
    </row>
    <row r="65" spans="10:11" x14ac:dyDescent="0.35">
      <c r="J65" s="27">
        <v>45201</v>
      </c>
      <c r="K65" s="20">
        <v>1</v>
      </c>
    </row>
    <row r="66" spans="10:11" x14ac:dyDescent="0.35">
      <c r="J66" s="19" t="s">
        <v>100</v>
      </c>
      <c r="K66" s="20">
        <v>4</v>
      </c>
    </row>
    <row r="67" spans="10:11" x14ac:dyDescent="0.35">
      <c r="J67" s="27">
        <v>44981</v>
      </c>
      <c r="K67" s="20">
        <v>1</v>
      </c>
    </row>
    <row r="68" spans="10:11" x14ac:dyDescent="0.35">
      <c r="J68" s="27">
        <v>45092</v>
      </c>
      <c r="K68" s="20">
        <v>1</v>
      </c>
    </row>
    <row r="69" spans="10:11" x14ac:dyDescent="0.35">
      <c r="J69" s="27">
        <v>45214</v>
      </c>
      <c r="K69" s="20">
        <v>1</v>
      </c>
    </row>
    <row r="70" spans="10:11" x14ac:dyDescent="0.35">
      <c r="J70" s="27">
        <v>45289</v>
      </c>
      <c r="K70" s="20">
        <v>1</v>
      </c>
    </row>
    <row r="71" spans="10:11" x14ac:dyDescent="0.35">
      <c r="J71" s="18" t="s">
        <v>7</v>
      </c>
      <c r="K71" s="20">
        <v>10</v>
      </c>
    </row>
    <row r="72" spans="10:11" x14ac:dyDescent="0.35">
      <c r="J72" s="19" t="s">
        <v>101</v>
      </c>
      <c r="K72" s="20">
        <v>3</v>
      </c>
    </row>
    <row r="73" spans="10:11" x14ac:dyDescent="0.35">
      <c r="J73" s="27">
        <v>44959</v>
      </c>
      <c r="K73" s="20">
        <v>1</v>
      </c>
    </row>
    <row r="74" spans="10:11" x14ac:dyDescent="0.35">
      <c r="J74" s="27">
        <v>45163</v>
      </c>
      <c r="K74" s="20">
        <v>1</v>
      </c>
    </row>
    <row r="75" spans="10:11" x14ac:dyDescent="0.35">
      <c r="J75" s="27">
        <v>45265</v>
      </c>
      <c r="K75" s="20">
        <v>1</v>
      </c>
    </row>
    <row r="76" spans="10:11" x14ac:dyDescent="0.35">
      <c r="J76" s="19" t="s">
        <v>100</v>
      </c>
      <c r="K76" s="20">
        <v>7</v>
      </c>
    </row>
    <row r="77" spans="10:11" x14ac:dyDescent="0.35">
      <c r="J77" s="27">
        <v>44944</v>
      </c>
      <c r="K77" s="20">
        <v>1</v>
      </c>
    </row>
    <row r="78" spans="10:11" x14ac:dyDescent="0.35">
      <c r="J78" s="27">
        <v>44959</v>
      </c>
      <c r="K78" s="20">
        <v>1</v>
      </c>
    </row>
    <row r="79" spans="10:11" x14ac:dyDescent="0.35">
      <c r="J79" s="27">
        <v>44969</v>
      </c>
      <c r="K79" s="20">
        <v>1</v>
      </c>
    </row>
    <row r="80" spans="10:11" x14ac:dyDescent="0.35">
      <c r="J80" s="27">
        <v>45017</v>
      </c>
      <c r="K80" s="20">
        <v>1</v>
      </c>
    </row>
    <row r="81" spans="10:11" x14ac:dyDescent="0.35">
      <c r="J81" s="27">
        <v>45172</v>
      </c>
      <c r="K81" s="20">
        <v>1</v>
      </c>
    </row>
    <row r="82" spans="10:11" x14ac:dyDescent="0.35">
      <c r="J82" s="27">
        <v>45227</v>
      </c>
      <c r="K82" s="20">
        <v>1</v>
      </c>
    </row>
    <row r="83" spans="10:11" x14ac:dyDescent="0.35">
      <c r="J83" s="27">
        <v>45232</v>
      </c>
      <c r="K83" s="20">
        <v>1</v>
      </c>
    </row>
    <row r="84" spans="10:11" x14ac:dyDescent="0.35">
      <c r="J84" s="18" t="s">
        <v>40</v>
      </c>
      <c r="K84" s="20">
        <v>12</v>
      </c>
    </row>
    <row r="85" spans="10:11" x14ac:dyDescent="0.35">
      <c r="J85" s="19" t="s">
        <v>101</v>
      </c>
      <c r="K85" s="20">
        <v>7</v>
      </c>
    </row>
    <row r="86" spans="10:11" x14ac:dyDescent="0.35">
      <c r="J86" s="27">
        <v>45012</v>
      </c>
      <c r="K86" s="20">
        <v>1</v>
      </c>
    </row>
    <row r="87" spans="10:11" x14ac:dyDescent="0.35">
      <c r="J87" s="27">
        <v>45051</v>
      </c>
      <c r="K87" s="20">
        <v>1</v>
      </c>
    </row>
    <row r="88" spans="10:11" x14ac:dyDescent="0.35">
      <c r="J88" s="27">
        <v>45129</v>
      </c>
      <c r="K88" s="20">
        <v>1</v>
      </c>
    </row>
    <row r="89" spans="10:11" x14ac:dyDescent="0.35">
      <c r="J89" s="27">
        <v>45201</v>
      </c>
      <c r="K89" s="20">
        <v>1</v>
      </c>
    </row>
    <row r="90" spans="10:11" x14ac:dyDescent="0.35">
      <c r="J90" s="27">
        <v>45265</v>
      </c>
      <c r="K90" s="20">
        <v>1</v>
      </c>
    </row>
    <row r="91" spans="10:11" x14ac:dyDescent="0.35">
      <c r="J91" s="27">
        <v>45278</v>
      </c>
      <c r="K91" s="20">
        <v>2</v>
      </c>
    </row>
    <row r="92" spans="10:11" x14ac:dyDescent="0.35">
      <c r="J92" s="19" t="s">
        <v>100</v>
      </c>
      <c r="K92" s="20">
        <v>5</v>
      </c>
    </row>
    <row r="93" spans="10:11" x14ac:dyDescent="0.35">
      <c r="J93" s="27">
        <v>45074</v>
      </c>
      <c r="K93" s="20">
        <v>1</v>
      </c>
    </row>
    <row r="94" spans="10:11" x14ac:dyDescent="0.35">
      <c r="J94" s="27">
        <v>45130</v>
      </c>
      <c r="K94" s="20">
        <v>1</v>
      </c>
    </row>
    <row r="95" spans="10:11" x14ac:dyDescent="0.35">
      <c r="J95" s="27">
        <v>45218</v>
      </c>
      <c r="K95" s="20">
        <v>1</v>
      </c>
    </row>
    <row r="96" spans="10:11" x14ac:dyDescent="0.35">
      <c r="J96" s="27">
        <v>45231</v>
      </c>
      <c r="K96" s="20">
        <v>1</v>
      </c>
    </row>
    <row r="97" spans="10:11" x14ac:dyDescent="0.35">
      <c r="J97" s="27">
        <v>45235</v>
      </c>
      <c r="K97" s="20">
        <v>1</v>
      </c>
    </row>
    <row r="98" spans="10:11" x14ac:dyDescent="0.35">
      <c r="J98" s="18" t="s">
        <v>14</v>
      </c>
      <c r="K98" s="20">
        <v>13</v>
      </c>
    </row>
    <row r="99" spans="10:11" x14ac:dyDescent="0.35">
      <c r="J99" s="19" t="s">
        <v>101</v>
      </c>
      <c r="K99" s="20">
        <v>6</v>
      </c>
    </row>
    <row r="100" spans="10:11" x14ac:dyDescent="0.35">
      <c r="J100" s="27">
        <v>44942</v>
      </c>
      <c r="K100" s="20">
        <v>1</v>
      </c>
    </row>
    <row r="101" spans="10:11" x14ac:dyDescent="0.35">
      <c r="J101" s="27">
        <v>44970</v>
      </c>
      <c r="K101" s="20">
        <v>1</v>
      </c>
    </row>
    <row r="102" spans="10:11" x14ac:dyDescent="0.35">
      <c r="J102" s="27">
        <v>44979</v>
      </c>
      <c r="K102" s="20">
        <v>1</v>
      </c>
    </row>
    <row r="103" spans="10:11" x14ac:dyDescent="0.35">
      <c r="J103" s="27">
        <v>44982</v>
      </c>
      <c r="K103" s="20">
        <v>1</v>
      </c>
    </row>
    <row r="104" spans="10:11" x14ac:dyDescent="0.35">
      <c r="J104" s="27">
        <v>45208</v>
      </c>
      <c r="K104" s="20">
        <v>1</v>
      </c>
    </row>
    <row r="105" spans="10:11" x14ac:dyDescent="0.35">
      <c r="J105" s="27">
        <v>45250</v>
      </c>
      <c r="K105" s="20">
        <v>1</v>
      </c>
    </row>
    <row r="106" spans="10:11" x14ac:dyDescent="0.35">
      <c r="J106" s="19" t="s">
        <v>100</v>
      </c>
      <c r="K106" s="20">
        <v>7</v>
      </c>
    </row>
    <row r="107" spans="10:11" x14ac:dyDescent="0.35">
      <c r="J107" s="27">
        <v>44933</v>
      </c>
      <c r="K107" s="20">
        <v>1</v>
      </c>
    </row>
    <row r="108" spans="10:11" x14ac:dyDescent="0.35">
      <c r="J108" s="27">
        <v>45018</v>
      </c>
      <c r="K108" s="20">
        <v>1</v>
      </c>
    </row>
    <row r="109" spans="10:11" x14ac:dyDescent="0.35">
      <c r="J109" s="27">
        <v>45054</v>
      </c>
      <c r="K109" s="20">
        <v>1</v>
      </c>
    </row>
    <row r="110" spans="10:11" x14ac:dyDescent="0.35">
      <c r="J110" s="27">
        <v>45232</v>
      </c>
      <c r="K110" s="20">
        <v>1</v>
      </c>
    </row>
    <row r="111" spans="10:11" x14ac:dyDescent="0.35">
      <c r="J111" s="27">
        <v>45262</v>
      </c>
      <c r="K111" s="20">
        <v>1</v>
      </c>
    </row>
    <row r="112" spans="10:11" x14ac:dyDescent="0.35">
      <c r="J112" s="27">
        <v>45264</v>
      </c>
      <c r="K112" s="20">
        <v>1</v>
      </c>
    </row>
    <row r="113" spans="10:11" x14ac:dyDescent="0.35">
      <c r="J113" s="27">
        <v>45278</v>
      </c>
      <c r="K113" s="20">
        <v>1</v>
      </c>
    </row>
    <row r="114" spans="10:11" x14ac:dyDescent="0.35">
      <c r="J114" s="18" t="s">
        <v>20</v>
      </c>
      <c r="K114" s="20">
        <v>11</v>
      </c>
    </row>
    <row r="115" spans="10:11" x14ac:dyDescent="0.35">
      <c r="J115" s="19" t="s">
        <v>101</v>
      </c>
      <c r="K115" s="20">
        <v>4</v>
      </c>
    </row>
    <row r="116" spans="10:11" x14ac:dyDescent="0.35">
      <c r="J116" s="27">
        <v>44976</v>
      </c>
      <c r="K116" s="20">
        <v>1</v>
      </c>
    </row>
    <row r="117" spans="10:11" x14ac:dyDescent="0.35">
      <c r="J117" s="27">
        <v>45070</v>
      </c>
      <c r="K117" s="20">
        <v>1</v>
      </c>
    </row>
    <row r="118" spans="10:11" x14ac:dyDescent="0.35">
      <c r="J118" s="27">
        <v>45152</v>
      </c>
      <c r="K118" s="20">
        <v>1</v>
      </c>
    </row>
    <row r="119" spans="10:11" x14ac:dyDescent="0.35">
      <c r="J119" s="27">
        <v>45263</v>
      </c>
      <c r="K119" s="20">
        <v>1</v>
      </c>
    </row>
    <row r="120" spans="10:11" x14ac:dyDescent="0.35">
      <c r="J120" s="19" t="s">
        <v>100</v>
      </c>
      <c r="K120" s="20">
        <v>7</v>
      </c>
    </row>
    <row r="121" spans="10:11" x14ac:dyDescent="0.35">
      <c r="J121" s="27">
        <v>44944</v>
      </c>
      <c r="K121" s="20">
        <v>1</v>
      </c>
    </row>
    <row r="122" spans="10:11" x14ac:dyDescent="0.35">
      <c r="J122" s="27">
        <v>44956</v>
      </c>
      <c r="K122" s="20">
        <v>1</v>
      </c>
    </row>
    <row r="123" spans="10:11" x14ac:dyDescent="0.35">
      <c r="J123" s="27">
        <v>44962</v>
      </c>
      <c r="K123" s="20">
        <v>1</v>
      </c>
    </row>
    <row r="124" spans="10:11" x14ac:dyDescent="0.35">
      <c r="J124" s="27">
        <v>44978</v>
      </c>
      <c r="K124" s="20">
        <v>1</v>
      </c>
    </row>
    <row r="125" spans="10:11" x14ac:dyDescent="0.35">
      <c r="J125" s="27">
        <v>45210</v>
      </c>
      <c r="K125" s="20">
        <v>1</v>
      </c>
    </row>
    <row r="126" spans="10:11" x14ac:dyDescent="0.35">
      <c r="J126" s="27">
        <v>45217</v>
      </c>
      <c r="K126" s="20">
        <v>1</v>
      </c>
    </row>
    <row r="127" spans="10:11" x14ac:dyDescent="0.35">
      <c r="J127" s="27">
        <v>45282</v>
      </c>
      <c r="K127" s="20">
        <v>1</v>
      </c>
    </row>
    <row r="128" spans="10:11" x14ac:dyDescent="0.35">
      <c r="J128" s="18" t="s">
        <v>71</v>
      </c>
      <c r="K128" s="20">
        <v>100</v>
      </c>
    </row>
  </sheetData>
  <phoneticPr fontId="8" type="noConversion"/>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O1000"/>
  <sheetViews>
    <sheetView workbookViewId="0">
      <selection activeCell="M10" sqref="M10"/>
    </sheetView>
  </sheetViews>
  <sheetFormatPr defaultColWidth="14.453125" defaultRowHeight="15" customHeight="1" x14ac:dyDescent="0.35"/>
  <cols>
    <col min="1" max="1" width="14.81640625" customWidth="1"/>
    <col min="2" max="2" width="11.26953125" style="16" customWidth="1"/>
    <col min="3" max="3" width="14.453125" style="20" bestFit="1" customWidth="1"/>
    <col min="4" max="4" width="14.7265625" customWidth="1"/>
    <col min="5" max="5" width="6.7265625" customWidth="1"/>
    <col min="6" max="6" width="11.08984375" bestFit="1" customWidth="1"/>
    <col min="7" max="7" width="18.81640625" customWidth="1"/>
    <col min="8" max="8" width="12.7265625" customWidth="1"/>
    <col min="9" max="9" width="11.54296875" customWidth="1"/>
    <col min="10" max="10" width="9.54296875" customWidth="1"/>
    <col min="11" max="11" width="10" customWidth="1"/>
    <col min="12" max="12" width="14.453125" style="25"/>
    <col min="13" max="13" width="8.7265625" customWidth="1"/>
    <col min="14" max="14" width="14.08984375" bestFit="1" customWidth="1"/>
    <col min="15" max="15" width="9.90625" bestFit="1" customWidth="1"/>
    <col min="16" max="29" width="8.7265625" customWidth="1"/>
  </cols>
  <sheetData>
    <row r="1" spans="1:15" ht="18" customHeight="1" x14ac:dyDescent="0.35">
      <c r="A1" s="8" t="s">
        <v>47</v>
      </c>
      <c r="B1" s="14" t="s">
        <v>48</v>
      </c>
      <c r="C1" s="29" t="s">
        <v>88</v>
      </c>
      <c r="D1" s="9" t="s">
        <v>0</v>
      </c>
      <c r="E1" s="10" t="s">
        <v>49</v>
      </c>
      <c r="F1" s="31" t="s">
        <v>1</v>
      </c>
      <c r="G1" s="32" t="s">
        <v>50</v>
      </c>
      <c r="H1" s="9" t="s">
        <v>51</v>
      </c>
      <c r="I1" s="9" t="s">
        <v>52</v>
      </c>
      <c r="J1" s="9" t="s">
        <v>53</v>
      </c>
      <c r="K1" s="34" t="s">
        <v>3</v>
      </c>
      <c r="L1" s="36" t="s">
        <v>90</v>
      </c>
      <c r="M1" s="38" t="s">
        <v>91</v>
      </c>
      <c r="N1" s="40" t="s">
        <v>99</v>
      </c>
      <c r="O1" s="41" t="s">
        <v>104</v>
      </c>
    </row>
    <row r="2" spans="1:15" ht="18" customHeight="1" x14ac:dyDescent="0.35">
      <c r="A2" s="11">
        <v>770265</v>
      </c>
      <c r="B2" s="15">
        <v>44979</v>
      </c>
      <c r="C2" s="30" t="str">
        <f>_xlfn.XLOOKUP(D2,EmployeeMaster!A:A,EmployeeMaster!B:B,0)</f>
        <v>Raj Mehta</v>
      </c>
      <c r="D2" s="12" t="s">
        <v>13</v>
      </c>
      <c r="E2" s="13" t="s">
        <v>54</v>
      </c>
      <c r="F2" s="31" t="str">
        <f>_xlfn.XLOOKUP(D2,EmployeeMaster!A:A,EmployeeMaster!C:C,0)</f>
        <v>Marketing</v>
      </c>
      <c r="G2" s="33" t="s">
        <v>55</v>
      </c>
      <c r="H2" s="12">
        <v>21</v>
      </c>
      <c r="I2" s="12">
        <v>36939</v>
      </c>
      <c r="J2" s="12">
        <v>37433</v>
      </c>
      <c r="K2" s="35" t="s">
        <v>17</v>
      </c>
      <c r="L2" s="37">
        <f>_xlfn.XLOOKUP(K2,RegionBenchmarks!A:A,RegionBenchmarks!B:B,"Not Found")</f>
        <v>60000</v>
      </c>
      <c r="M2" s="39">
        <f>IF(I2&gt;=J2,I2*5%,0)</f>
        <v>0</v>
      </c>
      <c r="N2" s="42" t="str">
        <f>IF(I2&gt;=J2,"Ture","No")</f>
        <v>No</v>
      </c>
      <c r="O2" s="43" t="str">
        <f>TEXT(B2,"mmmm")</f>
        <v>February</v>
      </c>
    </row>
    <row r="3" spans="1:15" ht="18" customHeight="1" x14ac:dyDescent="0.35">
      <c r="A3" s="11">
        <v>562322</v>
      </c>
      <c r="B3" s="15">
        <v>45210</v>
      </c>
      <c r="C3" s="30" t="str">
        <f>_xlfn.XLOOKUP(D3,EmployeeMaster!A:A,EmployeeMaster!B:B,0)</f>
        <v>Ronn Robinson</v>
      </c>
      <c r="D3" s="12" t="s">
        <v>19</v>
      </c>
      <c r="E3" s="13" t="s">
        <v>54</v>
      </c>
      <c r="F3" s="31" t="str">
        <f>_xlfn.XLOOKUP(D3,EmployeeMaster!A:A,EmployeeMaster!C:C,0)</f>
        <v>Sales</v>
      </c>
      <c r="G3" s="33" t="s">
        <v>55</v>
      </c>
      <c r="H3" s="12">
        <v>26</v>
      </c>
      <c r="I3" s="12">
        <v>43992</v>
      </c>
      <c r="J3" s="12">
        <v>36857</v>
      </c>
      <c r="K3" s="35" t="s">
        <v>22</v>
      </c>
      <c r="L3" s="37">
        <f>_xlfn.XLOOKUP(K3,RegionBenchmarks!A:A,RegionBenchmarks!B:B,"Not Found")</f>
        <v>50000</v>
      </c>
      <c r="M3" s="39">
        <f t="shared" ref="M3:M11" si="0">IF(I3&gt;=J3,I3*5%,0)</f>
        <v>2199.6</v>
      </c>
      <c r="N3" s="42" t="str">
        <f t="shared" ref="N3:N66" si="1">IF(I3&gt;=J3,"Ture","No")</f>
        <v>Ture</v>
      </c>
      <c r="O3" s="43" t="str">
        <f t="shared" ref="O3:O66" si="2">TEXT(B3,"mmmm")</f>
        <v>October</v>
      </c>
    </row>
    <row r="4" spans="1:15" ht="18" customHeight="1" x14ac:dyDescent="0.35">
      <c r="A4" s="11">
        <v>897935</v>
      </c>
      <c r="B4" s="15">
        <v>45051</v>
      </c>
      <c r="C4" s="30" t="str">
        <f>_xlfn.XLOOKUP(D4,EmployeeMaster!A:A,EmployeeMaster!B:B,0)</f>
        <v>Martina Brands</v>
      </c>
      <c r="D4" s="12" t="s">
        <v>39</v>
      </c>
      <c r="E4" s="13" t="s">
        <v>54</v>
      </c>
      <c r="F4" s="31" t="str">
        <f>_xlfn.XLOOKUP(D4,EmployeeMaster!A:A,EmployeeMaster!C:C,0)</f>
        <v>Marketing</v>
      </c>
      <c r="G4" s="33" t="s">
        <v>55</v>
      </c>
      <c r="H4" s="12">
        <v>22</v>
      </c>
      <c r="I4" s="12">
        <v>22660</v>
      </c>
      <c r="J4" s="12">
        <v>26125</v>
      </c>
      <c r="K4" s="35" t="s">
        <v>10</v>
      </c>
      <c r="L4" s="37">
        <f>_xlfn.XLOOKUP(K4,RegionBenchmarks!A:A,RegionBenchmarks!B:B,"Not Found")</f>
        <v>68500</v>
      </c>
      <c r="M4" s="39">
        <f t="shared" si="0"/>
        <v>0</v>
      </c>
      <c r="N4" s="42" t="str">
        <f t="shared" si="1"/>
        <v>No</v>
      </c>
      <c r="O4" s="43" t="str">
        <f t="shared" si="2"/>
        <v>May</v>
      </c>
    </row>
    <row r="5" spans="1:15" ht="18" customHeight="1" x14ac:dyDescent="0.35">
      <c r="A5" s="11">
        <v>531908</v>
      </c>
      <c r="B5" s="15">
        <v>44959</v>
      </c>
      <c r="C5" s="30" t="str">
        <f>_xlfn.XLOOKUP(D5,EmployeeMaster!A:A,EmployeeMaster!B:B,0)</f>
        <v>Lynda Smith</v>
      </c>
      <c r="D5" s="12" t="s">
        <v>6</v>
      </c>
      <c r="E5" s="13" t="s">
        <v>54</v>
      </c>
      <c r="F5" s="31" t="str">
        <f>_xlfn.XLOOKUP(D5,EmployeeMaster!A:A,EmployeeMaster!C:C,0)</f>
        <v>Sales</v>
      </c>
      <c r="G5" s="33" t="s">
        <v>56</v>
      </c>
      <c r="H5" s="12">
        <v>55</v>
      </c>
      <c r="I5" s="12">
        <v>66165</v>
      </c>
      <c r="J5" s="12">
        <v>59434</v>
      </c>
      <c r="K5" s="35" t="s">
        <v>10</v>
      </c>
      <c r="L5" s="37">
        <f>_xlfn.XLOOKUP(K5,RegionBenchmarks!A:A,RegionBenchmarks!B:B,"Not Found")</f>
        <v>68500</v>
      </c>
      <c r="M5" s="39">
        <f t="shared" si="0"/>
        <v>3308.25</v>
      </c>
      <c r="N5" s="42" t="str">
        <f t="shared" si="1"/>
        <v>Ture</v>
      </c>
      <c r="O5" s="43" t="str">
        <f t="shared" si="2"/>
        <v>February</v>
      </c>
    </row>
    <row r="6" spans="1:15" ht="18" customHeight="1" x14ac:dyDescent="0.35">
      <c r="A6" s="11">
        <v>208664</v>
      </c>
      <c r="B6" s="15">
        <v>45231</v>
      </c>
      <c r="C6" s="30" t="str">
        <f>_xlfn.XLOOKUP(D6,EmployeeMaster!A:A,EmployeeMaster!B:B,0)</f>
        <v>Martina Brands</v>
      </c>
      <c r="D6" s="12" t="s">
        <v>39</v>
      </c>
      <c r="E6" s="13" t="s">
        <v>54</v>
      </c>
      <c r="F6" s="31" t="str">
        <f>_xlfn.XLOOKUP(D6,EmployeeMaster!A:A,EmployeeMaster!C:C,0)</f>
        <v>Marketing</v>
      </c>
      <c r="G6" s="33" t="s">
        <v>55</v>
      </c>
      <c r="H6" s="12">
        <v>34</v>
      </c>
      <c r="I6" s="12">
        <v>49606</v>
      </c>
      <c r="J6" s="12">
        <v>44952</v>
      </c>
      <c r="K6" s="35" t="s">
        <v>10</v>
      </c>
      <c r="L6" s="37">
        <f>_xlfn.XLOOKUP(K6,RegionBenchmarks!A:A,RegionBenchmarks!B:B,"Not Found")</f>
        <v>68500</v>
      </c>
      <c r="M6" s="39">
        <f t="shared" si="0"/>
        <v>2480.3000000000002</v>
      </c>
      <c r="N6" s="42" t="str">
        <f t="shared" si="1"/>
        <v>Ture</v>
      </c>
      <c r="O6" s="43" t="str">
        <f t="shared" si="2"/>
        <v>November</v>
      </c>
    </row>
    <row r="7" spans="1:15" ht="18" customHeight="1" x14ac:dyDescent="0.35">
      <c r="A7" s="11">
        <v>690563</v>
      </c>
      <c r="B7" s="15">
        <v>45152</v>
      </c>
      <c r="C7" s="30" t="str">
        <f>_xlfn.XLOOKUP(D7,EmployeeMaster!A:A,EmployeeMaster!B:B,0)</f>
        <v>Ronn Robinson</v>
      </c>
      <c r="D7" s="12" t="s">
        <v>19</v>
      </c>
      <c r="E7" s="13" t="s">
        <v>54</v>
      </c>
      <c r="F7" s="31" t="str">
        <f>_xlfn.XLOOKUP(D7,EmployeeMaster!A:A,EmployeeMaster!C:C,0)</f>
        <v>Sales</v>
      </c>
      <c r="G7" s="33" t="s">
        <v>55</v>
      </c>
      <c r="H7" s="12">
        <v>47</v>
      </c>
      <c r="I7" s="12">
        <v>63356</v>
      </c>
      <c r="J7" s="12">
        <v>63804</v>
      </c>
      <c r="K7" s="35" t="s">
        <v>22</v>
      </c>
      <c r="L7" s="37">
        <f>_xlfn.XLOOKUP(K7,RegionBenchmarks!A:A,RegionBenchmarks!B:B,"Not Found")</f>
        <v>50000</v>
      </c>
      <c r="M7" s="39">
        <f t="shared" si="0"/>
        <v>0</v>
      </c>
      <c r="N7" s="42" t="str">
        <f t="shared" si="1"/>
        <v>No</v>
      </c>
      <c r="O7" s="43" t="str">
        <f t="shared" si="2"/>
        <v>August</v>
      </c>
    </row>
    <row r="8" spans="1:15" ht="18" customHeight="1" x14ac:dyDescent="0.35">
      <c r="A8" s="11">
        <v>484790</v>
      </c>
      <c r="B8" s="15">
        <v>45017</v>
      </c>
      <c r="C8" s="30" t="str">
        <f>_xlfn.XLOOKUP(D8,EmployeeMaster!A:A,EmployeeMaster!B:B,0)</f>
        <v>Fatima Zhang</v>
      </c>
      <c r="D8" s="12" t="s">
        <v>36</v>
      </c>
      <c r="E8" s="13" t="s">
        <v>54</v>
      </c>
      <c r="F8" s="31" t="str">
        <f>_xlfn.XLOOKUP(D8,EmployeeMaster!A:A,EmployeeMaster!C:C,0)</f>
        <v>Sales</v>
      </c>
      <c r="G8" s="33" t="s">
        <v>57</v>
      </c>
      <c r="H8" s="12">
        <v>26</v>
      </c>
      <c r="I8" s="12">
        <v>28444</v>
      </c>
      <c r="J8" s="12">
        <v>27220</v>
      </c>
      <c r="K8" s="35" t="s">
        <v>17</v>
      </c>
      <c r="L8" s="37">
        <f>_xlfn.XLOOKUP(K8,RegionBenchmarks!A:A,RegionBenchmarks!B:B,"Not Found")</f>
        <v>60000</v>
      </c>
      <c r="M8" s="39">
        <f t="shared" si="0"/>
        <v>1422.2</v>
      </c>
      <c r="N8" s="42" t="str">
        <f t="shared" si="1"/>
        <v>Ture</v>
      </c>
      <c r="O8" s="43" t="str">
        <f t="shared" si="2"/>
        <v>April</v>
      </c>
    </row>
    <row r="9" spans="1:15" ht="18" customHeight="1" x14ac:dyDescent="0.35">
      <c r="A9" s="11">
        <v>424434</v>
      </c>
      <c r="B9" s="15">
        <v>45128</v>
      </c>
      <c r="C9" s="30" t="str">
        <f>_xlfn.XLOOKUP(D9,EmployeeMaster!A:A,EmployeeMaster!B:B,0)</f>
        <v>Fatima Zhang</v>
      </c>
      <c r="D9" s="12" t="s">
        <v>36</v>
      </c>
      <c r="E9" s="13" t="s">
        <v>54</v>
      </c>
      <c r="F9" s="31" t="str">
        <f>_xlfn.XLOOKUP(D9,EmployeeMaster!A:A,EmployeeMaster!C:C,0)</f>
        <v>Sales</v>
      </c>
      <c r="G9" s="33" t="s">
        <v>56</v>
      </c>
      <c r="H9" s="12">
        <v>58</v>
      </c>
      <c r="I9" s="12">
        <v>73660</v>
      </c>
      <c r="J9" s="12">
        <v>65437</v>
      </c>
      <c r="K9" s="35" t="s">
        <v>17</v>
      </c>
      <c r="L9" s="37">
        <f>_xlfn.XLOOKUP(K9,RegionBenchmarks!A:A,RegionBenchmarks!B:B,"Not Found")</f>
        <v>60000</v>
      </c>
      <c r="M9" s="39">
        <f t="shared" si="0"/>
        <v>3683</v>
      </c>
      <c r="N9" s="42" t="str">
        <f t="shared" si="1"/>
        <v>Ture</v>
      </c>
      <c r="O9" s="43" t="str">
        <f t="shared" si="2"/>
        <v>July</v>
      </c>
    </row>
    <row r="10" spans="1:15" ht="18" customHeight="1" x14ac:dyDescent="0.35">
      <c r="A10" s="11">
        <v>190886</v>
      </c>
      <c r="B10" s="15">
        <v>45289</v>
      </c>
      <c r="C10" s="30" t="str">
        <f>_xlfn.XLOOKUP(D10,EmployeeMaster!A:A,EmployeeMaster!B:B,0)</f>
        <v>John Taylor</v>
      </c>
      <c r="D10" s="12" t="s">
        <v>43</v>
      </c>
      <c r="E10" s="13" t="s">
        <v>58</v>
      </c>
      <c r="F10" s="31" t="str">
        <f>_xlfn.XLOOKUP(D10,EmployeeMaster!A:A,EmployeeMaster!C:C,0)</f>
        <v>Sales</v>
      </c>
      <c r="G10" s="33" t="s">
        <v>56</v>
      </c>
      <c r="H10" s="12">
        <v>54</v>
      </c>
      <c r="I10" s="12">
        <v>60858</v>
      </c>
      <c r="J10" s="12">
        <v>59657</v>
      </c>
      <c r="K10" s="35" t="s">
        <v>22</v>
      </c>
      <c r="L10" s="37">
        <f>_xlfn.XLOOKUP(K10,RegionBenchmarks!A:A,RegionBenchmarks!B:B,"Not Found")</f>
        <v>50000</v>
      </c>
      <c r="M10" s="39">
        <f t="shared" si="0"/>
        <v>3042.9</v>
      </c>
      <c r="N10" s="42" t="str">
        <f t="shared" si="1"/>
        <v>Ture</v>
      </c>
      <c r="O10" s="43" t="str">
        <f t="shared" si="2"/>
        <v>December</v>
      </c>
    </row>
    <row r="11" spans="1:15" ht="18" customHeight="1" x14ac:dyDescent="0.35">
      <c r="A11" s="11">
        <v>655665</v>
      </c>
      <c r="B11" s="15">
        <v>45050</v>
      </c>
      <c r="C11" s="30" t="str">
        <f>_xlfn.XLOOKUP(D11,EmployeeMaster!A:A,EmployeeMaster!B:B,0)</f>
        <v>Joe Lyn</v>
      </c>
      <c r="D11" s="12" t="s">
        <v>31</v>
      </c>
      <c r="E11" s="13" t="s">
        <v>58</v>
      </c>
      <c r="F11" s="31" t="str">
        <f>_xlfn.XLOOKUP(D11,EmployeeMaster!A:A,EmployeeMaster!C:C,0)</f>
        <v>Sales</v>
      </c>
      <c r="G11" s="33" t="s">
        <v>56</v>
      </c>
      <c r="H11" s="12">
        <v>60</v>
      </c>
      <c r="I11" s="12">
        <v>97980</v>
      </c>
      <c r="J11" s="12">
        <v>88473</v>
      </c>
      <c r="K11" s="35" t="s">
        <v>34</v>
      </c>
      <c r="L11" s="37">
        <f>_xlfn.XLOOKUP(K11,RegionBenchmarks!A:A,RegionBenchmarks!B:B,"Not Found")</f>
        <v>45000</v>
      </c>
      <c r="M11" s="39">
        <f t="shared" si="0"/>
        <v>4899</v>
      </c>
      <c r="N11" s="42" t="str">
        <f t="shared" si="1"/>
        <v>Ture</v>
      </c>
      <c r="O11" s="43" t="str">
        <f t="shared" si="2"/>
        <v>May</v>
      </c>
    </row>
    <row r="12" spans="1:15" ht="18" customHeight="1" x14ac:dyDescent="0.35">
      <c r="A12" s="11">
        <v>624861</v>
      </c>
      <c r="B12" s="15">
        <v>45132</v>
      </c>
      <c r="C12" s="30" t="str">
        <f>_xlfn.XLOOKUP(D12,EmployeeMaster!A:A,EmployeeMaster!B:B,0)</f>
        <v>Christi Davis</v>
      </c>
      <c r="D12" s="12" t="s">
        <v>25</v>
      </c>
      <c r="E12" s="13" t="s">
        <v>58</v>
      </c>
      <c r="F12" s="31" t="str">
        <f>_xlfn.XLOOKUP(D12,EmployeeMaster!A:A,EmployeeMaster!C:C,0)</f>
        <v>Operations</v>
      </c>
      <c r="G12" s="33" t="s">
        <v>57</v>
      </c>
      <c r="H12" s="12">
        <v>24</v>
      </c>
      <c r="I12" s="12">
        <v>25104</v>
      </c>
      <c r="J12" s="12">
        <v>19270</v>
      </c>
      <c r="K12" s="35" t="s">
        <v>29</v>
      </c>
      <c r="L12" s="37">
        <f>_xlfn.XLOOKUP(K12,RegionBenchmarks!A:A,RegionBenchmarks!B:B,"Not Found")</f>
        <v>55000</v>
      </c>
      <c r="M12" s="39">
        <f t="shared" ref="M12:M43" si="3">IF(I12&gt;=J12,I12*5%,0)</f>
        <v>1255.2</v>
      </c>
      <c r="N12" s="42" t="str">
        <f t="shared" si="1"/>
        <v>Ture</v>
      </c>
      <c r="O12" s="43" t="str">
        <f t="shared" si="2"/>
        <v>July</v>
      </c>
    </row>
    <row r="13" spans="1:15" ht="18" customHeight="1" x14ac:dyDescent="0.35">
      <c r="A13" s="11">
        <v>279643</v>
      </c>
      <c r="B13" s="15">
        <v>44982</v>
      </c>
      <c r="C13" s="30" t="str">
        <f>_xlfn.XLOOKUP(D13,EmployeeMaster!A:A,EmployeeMaster!B:B,0)</f>
        <v>Raj Mehta</v>
      </c>
      <c r="D13" s="12" t="s">
        <v>13</v>
      </c>
      <c r="E13" s="13" t="s">
        <v>58</v>
      </c>
      <c r="F13" s="31" t="str">
        <f>_xlfn.XLOOKUP(D13,EmployeeMaster!A:A,EmployeeMaster!C:C,0)</f>
        <v>Marketing</v>
      </c>
      <c r="G13" s="33" t="s">
        <v>57</v>
      </c>
      <c r="H13" s="12">
        <v>34</v>
      </c>
      <c r="I13" s="12">
        <v>64158</v>
      </c>
      <c r="J13" s="12">
        <v>67504</v>
      </c>
      <c r="K13" s="35" t="s">
        <v>17</v>
      </c>
      <c r="L13" s="37">
        <f>_xlfn.XLOOKUP(K13,RegionBenchmarks!A:A,RegionBenchmarks!B:B,"Not Found")</f>
        <v>60000</v>
      </c>
      <c r="M13" s="39">
        <f t="shared" si="3"/>
        <v>0</v>
      </c>
      <c r="N13" s="42" t="str">
        <f t="shared" si="1"/>
        <v>No</v>
      </c>
      <c r="O13" s="43" t="str">
        <f t="shared" si="2"/>
        <v>February</v>
      </c>
    </row>
    <row r="14" spans="1:15" ht="18" customHeight="1" x14ac:dyDescent="0.35">
      <c r="A14" s="11">
        <v>915044</v>
      </c>
      <c r="B14" s="15">
        <v>44981</v>
      </c>
      <c r="C14" s="30" t="str">
        <f>_xlfn.XLOOKUP(D14,EmployeeMaster!A:A,EmployeeMaster!B:B,0)</f>
        <v>John Taylor</v>
      </c>
      <c r="D14" s="12" t="s">
        <v>43</v>
      </c>
      <c r="E14" s="13" t="s">
        <v>58</v>
      </c>
      <c r="F14" s="31" t="str">
        <f>_xlfn.XLOOKUP(D14,EmployeeMaster!A:A,EmployeeMaster!C:C,0)</f>
        <v>Sales</v>
      </c>
      <c r="G14" s="33" t="s">
        <v>57</v>
      </c>
      <c r="H14" s="12">
        <v>60</v>
      </c>
      <c r="I14" s="12">
        <v>111240</v>
      </c>
      <c r="J14" s="12">
        <v>110263</v>
      </c>
      <c r="K14" s="35" t="s">
        <v>22</v>
      </c>
      <c r="L14" s="37">
        <f>_xlfn.XLOOKUP(K14,RegionBenchmarks!A:A,RegionBenchmarks!B:B,"Not Found")</f>
        <v>50000</v>
      </c>
      <c r="M14" s="39">
        <f t="shared" si="3"/>
        <v>5562</v>
      </c>
      <c r="N14" s="42" t="str">
        <f t="shared" si="1"/>
        <v>Ture</v>
      </c>
      <c r="O14" s="43" t="str">
        <f t="shared" si="2"/>
        <v>February</v>
      </c>
    </row>
    <row r="15" spans="1:15" ht="18" customHeight="1" x14ac:dyDescent="0.35">
      <c r="A15" s="11">
        <v>480683</v>
      </c>
      <c r="B15" s="15">
        <v>45164</v>
      </c>
      <c r="C15" s="30" t="str">
        <f>_xlfn.XLOOKUP(D15,EmployeeMaster!A:A,EmployeeMaster!B:B,0)</f>
        <v>Fatima Zhang</v>
      </c>
      <c r="D15" s="12" t="s">
        <v>36</v>
      </c>
      <c r="E15" s="13" t="s">
        <v>58</v>
      </c>
      <c r="F15" s="31" t="str">
        <f>_xlfn.XLOOKUP(D15,EmployeeMaster!A:A,EmployeeMaster!C:C,0)</f>
        <v>Sales</v>
      </c>
      <c r="G15" s="33" t="s">
        <v>56</v>
      </c>
      <c r="H15" s="12">
        <v>33</v>
      </c>
      <c r="I15" s="12">
        <v>55638</v>
      </c>
      <c r="J15" s="12">
        <v>56264</v>
      </c>
      <c r="K15" s="35" t="s">
        <v>17</v>
      </c>
      <c r="L15" s="37">
        <f>_xlfn.XLOOKUP(K15,RegionBenchmarks!A:A,RegionBenchmarks!B:B,"Not Found")</f>
        <v>60000</v>
      </c>
      <c r="M15" s="39">
        <f t="shared" si="3"/>
        <v>0</v>
      </c>
      <c r="N15" s="42" t="str">
        <f t="shared" si="1"/>
        <v>No</v>
      </c>
      <c r="O15" s="43" t="str">
        <f t="shared" si="2"/>
        <v>August</v>
      </c>
    </row>
    <row r="16" spans="1:15" ht="18" customHeight="1" x14ac:dyDescent="0.35">
      <c r="A16" s="11">
        <v>527151</v>
      </c>
      <c r="B16" s="15">
        <v>44970</v>
      </c>
      <c r="C16" s="30" t="str">
        <f>_xlfn.XLOOKUP(D16,EmployeeMaster!A:A,EmployeeMaster!B:B,0)</f>
        <v>Raj Mehta</v>
      </c>
      <c r="D16" s="12" t="s">
        <v>13</v>
      </c>
      <c r="E16" s="13" t="s">
        <v>58</v>
      </c>
      <c r="F16" s="31" t="str">
        <f>_xlfn.XLOOKUP(D16,EmployeeMaster!A:A,EmployeeMaster!C:C,0)</f>
        <v>Marketing</v>
      </c>
      <c r="G16" s="33" t="s">
        <v>56</v>
      </c>
      <c r="H16" s="12">
        <v>58</v>
      </c>
      <c r="I16" s="12">
        <v>95700</v>
      </c>
      <c r="J16" s="12">
        <v>97897</v>
      </c>
      <c r="K16" s="35" t="s">
        <v>17</v>
      </c>
      <c r="L16" s="37">
        <f>_xlfn.XLOOKUP(K16,RegionBenchmarks!A:A,RegionBenchmarks!B:B,"Not Found")</f>
        <v>60000</v>
      </c>
      <c r="M16" s="39">
        <f t="shared" si="3"/>
        <v>0</v>
      </c>
      <c r="N16" s="42" t="str">
        <f t="shared" si="1"/>
        <v>No</v>
      </c>
      <c r="O16" s="43" t="str">
        <f t="shared" si="2"/>
        <v>February</v>
      </c>
    </row>
    <row r="17" spans="1:15" ht="18" customHeight="1" x14ac:dyDescent="0.35">
      <c r="A17" s="11">
        <v>914427</v>
      </c>
      <c r="B17" s="15">
        <v>45105</v>
      </c>
      <c r="C17" s="30" t="str">
        <f>_xlfn.XLOOKUP(D17,EmployeeMaster!A:A,EmployeeMaster!B:B,0)</f>
        <v>Christi Davis</v>
      </c>
      <c r="D17" s="12" t="s">
        <v>25</v>
      </c>
      <c r="E17" s="13" t="s">
        <v>58</v>
      </c>
      <c r="F17" s="31" t="str">
        <f>_xlfn.XLOOKUP(D17,EmployeeMaster!A:A,EmployeeMaster!C:C,0)</f>
        <v>Operations</v>
      </c>
      <c r="G17" s="33" t="s">
        <v>56</v>
      </c>
      <c r="H17" s="12">
        <v>30</v>
      </c>
      <c r="I17" s="12">
        <v>44190</v>
      </c>
      <c r="J17" s="12">
        <v>42974</v>
      </c>
      <c r="K17" s="35" t="s">
        <v>29</v>
      </c>
      <c r="L17" s="37">
        <f>_xlfn.XLOOKUP(K17,RegionBenchmarks!A:A,RegionBenchmarks!B:B,"Not Found")</f>
        <v>55000</v>
      </c>
      <c r="M17" s="39">
        <f t="shared" si="3"/>
        <v>2209.5</v>
      </c>
      <c r="N17" s="42" t="str">
        <f t="shared" si="1"/>
        <v>Ture</v>
      </c>
      <c r="O17" s="43" t="str">
        <f t="shared" si="2"/>
        <v>June</v>
      </c>
    </row>
    <row r="18" spans="1:15" ht="18" customHeight="1" x14ac:dyDescent="0.35">
      <c r="A18" s="11">
        <v>457546</v>
      </c>
      <c r="B18" s="15">
        <v>45258</v>
      </c>
      <c r="C18" s="30" t="str">
        <f>_xlfn.XLOOKUP(D18,EmployeeMaster!A:A,EmployeeMaster!B:B,0)</f>
        <v>Christi Davis</v>
      </c>
      <c r="D18" s="12" t="s">
        <v>25</v>
      </c>
      <c r="E18" s="13" t="s">
        <v>58</v>
      </c>
      <c r="F18" s="31" t="str">
        <f>_xlfn.XLOOKUP(D18,EmployeeMaster!A:A,EmployeeMaster!C:C,0)</f>
        <v>Operations</v>
      </c>
      <c r="G18" s="33" t="s">
        <v>55</v>
      </c>
      <c r="H18" s="12">
        <v>40</v>
      </c>
      <c r="I18" s="12">
        <v>74520</v>
      </c>
      <c r="J18" s="12">
        <v>66932</v>
      </c>
      <c r="K18" s="35" t="s">
        <v>29</v>
      </c>
      <c r="L18" s="37">
        <f>_xlfn.XLOOKUP(K18,RegionBenchmarks!A:A,RegionBenchmarks!B:B,"Not Found")</f>
        <v>55000</v>
      </c>
      <c r="M18" s="39">
        <f t="shared" si="3"/>
        <v>3726</v>
      </c>
      <c r="N18" s="42" t="str">
        <f t="shared" si="1"/>
        <v>Ture</v>
      </c>
      <c r="O18" s="43" t="str">
        <f t="shared" si="2"/>
        <v>November</v>
      </c>
    </row>
    <row r="19" spans="1:15" ht="18" customHeight="1" x14ac:dyDescent="0.35">
      <c r="A19" s="11">
        <v>674613</v>
      </c>
      <c r="B19" s="15">
        <v>45163</v>
      </c>
      <c r="C19" s="30" t="str">
        <f>_xlfn.XLOOKUP(D19,EmployeeMaster!A:A,EmployeeMaster!B:B,0)</f>
        <v>Lynda Smith</v>
      </c>
      <c r="D19" s="12" t="s">
        <v>6</v>
      </c>
      <c r="E19" s="13" t="s">
        <v>59</v>
      </c>
      <c r="F19" s="31" t="str">
        <f>_xlfn.XLOOKUP(D19,EmployeeMaster!A:A,EmployeeMaster!C:C,0)</f>
        <v>Sales</v>
      </c>
      <c r="G19" s="33" t="s">
        <v>55</v>
      </c>
      <c r="H19" s="12">
        <v>40</v>
      </c>
      <c r="I19" s="12">
        <v>56400</v>
      </c>
      <c r="J19" s="12">
        <v>57014</v>
      </c>
      <c r="K19" s="35" t="s">
        <v>10</v>
      </c>
      <c r="L19" s="37">
        <f>_xlfn.XLOOKUP(K19,RegionBenchmarks!A:A,RegionBenchmarks!B:B,"Not Found")</f>
        <v>68500</v>
      </c>
      <c r="M19" s="39">
        <f t="shared" si="3"/>
        <v>0</v>
      </c>
      <c r="N19" s="42" t="str">
        <f t="shared" si="1"/>
        <v>No</v>
      </c>
      <c r="O19" s="43" t="str">
        <f t="shared" si="2"/>
        <v>August</v>
      </c>
    </row>
    <row r="20" spans="1:15" ht="18" customHeight="1" x14ac:dyDescent="0.35">
      <c r="A20" s="11">
        <v>376752</v>
      </c>
      <c r="B20" s="15">
        <v>45028</v>
      </c>
      <c r="C20" s="30" t="str">
        <f>_xlfn.XLOOKUP(D20,EmployeeMaster!A:A,EmployeeMaster!B:B,0)</f>
        <v>Fatima Zhang</v>
      </c>
      <c r="D20" s="12" t="s">
        <v>36</v>
      </c>
      <c r="E20" s="13" t="s">
        <v>59</v>
      </c>
      <c r="F20" s="31" t="str">
        <f>_xlfn.XLOOKUP(D20,EmployeeMaster!A:A,EmployeeMaster!C:C,0)</f>
        <v>Sales</v>
      </c>
      <c r="G20" s="33" t="s">
        <v>56</v>
      </c>
      <c r="H20" s="12">
        <v>33</v>
      </c>
      <c r="I20" s="12">
        <v>55143</v>
      </c>
      <c r="J20" s="12">
        <v>51964</v>
      </c>
      <c r="K20" s="35" t="s">
        <v>17</v>
      </c>
      <c r="L20" s="37">
        <f>_xlfn.XLOOKUP(K20,RegionBenchmarks!A:A,RegionBenchmarks!B:B,"Not Found")</f>
        <v>60000</v>
      </c>
      <c r="M20" s="39">
        <f t="shared" si="3"/>
        <v>2757.15</v>
      </c>
      <c r="N20" s="42" t="str">
        <f t="shared" si="1"/>
        <v>Ture</v>
      </c>
      <c r="O20" s="43" t="str">
        <f t="shared" si="2"/>
        <v>April</v>
      </c>
    </row>
    <row r="21" spans="1:15" ht="18" customHeight="1" x14ac:dyDescent="0.35">
      <c r="A21" s="11">
        <v>476554</v>
      </c>
      <c r="B21" s="15">
        <v>45201</v>
      </c>
      <c r="C21" s="30" t="str">
        <f>_xlfn.XLOOKUP(D21,EmployeeMaster!A:A,EmployeeMaster!B:B,0)</f>
        <v>John Taylor</v>
      </c>
      <c r="D21" s="12" t="s">
        <v>43</v>
      </c>
      <c r="E21" s="13" t="s">
        <v>59</v>
      </c>
      <c r="F21" s="31" t="str">
        <f>_xlfn.XLOOKUP(D21,EmployeeMaster!A:A,EmployeeMaster!C:C,0)</f>
        <v>Sales</v>
      </c>
      <c r="G21" s="33" t="s">
        <v>56</v>
      </c>
      <c r="H21" s="12">
        <v>29</v>
      </c>
      <c r="I21" s="12">
        <v>36859</v>
      </c>
      <c r="J21" s="12">
        <v>39572</v>
      </c>
      <c r="K21" s="35" t="s">
        <v>22</v>
      </c>
      <c r="L21" s="37">
        <f>_xlfn.XLOOKUP(K21,RegionBenchmarks!A:A,RegionBenchmarks!B:B,"Not Found")</f>
        <v>50000</v>
      </c>
      <c r="M21" s="39">
        <f t="shared" si="3"/>
        <v>0</v>
      </c>
      <c r="N21" s="42" t="str">
        <f t="shared" si="1"/>
        <v>No</v>
      </c>
      <c r="O21" s="43" t="str">
        <f t="shared" si="2"/>
        <v>October</v>
      </c>
    </row>
    <row r="22" spans="1:15" ht="18" customHeight="1" x14ac:dyDescent="0.35">
      <c r="A22" s="11">
        <v>664779</v>
      </c>
      <c r="B22" s="15">
        <v>45239</v>
      </c>
      <c r="C22" s="30" t="str">
        <f>_xlfn.XLOOKUP(D22,EmployeeMaster!A:A,EmployeeMaster!B:B,0)</f>
        <v>Joe Lyn</v>
      </c>
      <c r="D22" s="12" t="s">
        <v>31</v>
      </c>
      <c r="E22" s="13" t="s">
        <v>59</v>
      </c>
      <c r="F22" s="31" t="str">
        <f>_xlfn.XLOOKUP(D22,EmployeeMaster!A:A,EmployeeMaster!C:C,0)</f>
        <v>Sales</v>
      </c>
      <c r="G22" s="33" t="s">
        <v>57</v>
      </c>
      <c r="H22" s="12">
        <v>57</v>
      </c>
      <c r="I22" s="12">
        <v>81966</v>
      </c>
      <c r="J22" s="12">
        <v>72257</v>
      </c>
      <c r="K22" s="35" t="s">
        <v>34</v>
      </c>
      <c r="L22" s="37">
        <f>_xlfn.XLOOKUP(K22,RegionBenchmarks!A:A,RegionBenchmarks!B:B,"Not Found")</f>
        <v>45000</v>
      </c>
      <c r="M22" s="39">
        <f t="shared" si="3"/>
        <v>4098.3</v>
      </c>
      <c r="N22" s="42" t="str">
        <f t="shared" si="1"/>
        <v>Ture</v>
      </c>
      <c r="O22" s="43" t="str">
        <f t="shared" si="2"/>
        <v>November</v>
      </c>
    </row>
    <row r="23" spans="1:15" ht="18" customHeight="1" x14ac:dyDescent="0.35">
      <c r="A23" s="11">
        <v>311452</v>
      </c>
      <c r="B23" s="15">
        <v>44970</v>
      </c>
      <c r="C23" s="30" t="str">
        <f>_xlfn.XLOOKUP(D23,EmployeeMaster!A:A,EmployeeMaster!B:B,0)</f>
        <v>Fatima Zhang</v>
      </c>
      <c r="D23" s="12" t="s">
        <v>36</v>
      </c>
      <c r="E23" s="13" t="s">
        <v>59</v>
      </c>
      <c r="F23" s="31" t="str">
        <f>_xlfn.XLOOKUP(D23,EmployeeMaster!A:A,EmployeeMaster!C:C,0)</f>
        <v>Sales</v>
      </c>
      <c r="G23" s="33" t="s">
        <v>55</v>
      </c>
      <c r="H23" s="12">
        <v>34</v>
      </c>
      <c r="I23" s="12">
        <v>38794</v>
      </c>
      <c r="J23" s="12">
        <v>35446</v>
      </c>
      <c r="K23" s="35" t="s">
        <v>17</v>
      </c>
      <c r="L23" s="37">
        <f>_xlfn.XLOOKUP(K23,RegionBenchmarks!A:A,RegionBenchmarks!B:B,"Not Found")</f>
        <v>60000</v>
      </c>
      <c r="M23" s="39">
        <f t="shared" si="3"/>
        <v>1939.7</v>
      </c>
      <c r="N23" s="42" t="str">
        <f t="shared" si="1"/>
        <v>Ture</v>
      </c>
      <c r="O23" s="43" t="str">
        <f t="shared" si="2"/>
        <v>February</v>
      </c>
    </row>
    <row r="24" spans="1:15" ht="18" customHeight="1" x14ac:dyDescent="0.35">
      <c r="A24" s="11">
        <v>448445</v>
      </c>
      <c r="B24" s="15">
        <v>45232</v>
      </c>
      <c r="C24" s="30" t="str">
        <f>_xlfn.XLOOKUP(D24,EmployeeMaster!A:A,EmployeeMaster!B:B,0)</f>
        <v>Lynda Smith</v>
      </c>
      <c r="D24" s="12" t="s">
        <v>6</v>
      </c>
      <c r="E24" s="13" t="s">
        <v>59</v>
      </c>
      <c r="F24" s="31" t="str">
        <f>_xlfn.XLOOKUP(D24,EmployeeMaster!A:A,EmployeeMaster!C:C,0)</f>
        <v>Sales</v>
      </c>
      <c r="G24" s="33" t="s">
        <v>56</v>
      </c>
      <c r="H24" s="12">
        <v>27</v>
      </c>
      <c r="I24" s="12">
        <v>31212</v>
      </c>
      <c r="J24" s="12">
        <v>25932</v>
      </c>
      <c r="K24" s="35" t="s">
        <v>10</v>
      </c>
      <c r="L24" s="37">
        <f>_xlfn.XLOOKUP(K24,RegionBenchmarks!A:A,RegionBenchmarks!B:B,"Not Found")</f>
        <v>68500</v>
      </c>
      <c r="M24" s="39">
        <f t="shared" si="3"/>
        <v>1560.6000000000001</v>
      </c>
      <c r="N24" s="42" t="str">
        <f t="shared" si="1"/>
        <v>Ture</v>
      </c>
      <c r="O24" s="43" t="str">
        <f t="shared" si="2"/>
        <v>November</v>
      </c>
    </row>
    <row r="25" spans="1:15" ht="18" customHeight="1" x14ac:dyDescent="0.35">
      <c r="A25" s="11">
        <v>384298</v>
      </c>
      <c r="B25" s="15">
        <v>45074</v>
      </c>
      <c r="C25" s="30" t="str">
        <f>_xlfn.XLOOKUP(D25,EmployeeMaster!A:A,EmployeeMaster!B:B,0)</f>
        <v>Martina Brands</v>
      </c>
      <c r="D25" s="12" t="s">
        <v>39</v>
      </c>
      <c r="E25" s="13" t="s">
        <v>60</v>
      </c>
      <c r="F25" s="31" t="str">
        <f>_xlfn.XLOOKUP(D25,EmployeeMaster!A:A,EmployeeMaster!C:C,0)</f>
        <v>Marketing</v>
      </c>
      <c r="G25" s="33" t="s">
        <v>56</v>
      </c>
      <c r="H25" s="12">
        <v>58</v>
      </c>
      <c r="I25" s="12">
        <v>61770</v>
      </c>
      <c r="J25" s="12">
        <v>60466</v>
      </c>
      <c r="K25" s="35" t="s">
        <v>10</v>
      </c>
      <c r="L25" s="37">
        <f>_xlfn.XLOOKUP(K25,RegionBenchmarks!A:A,RegionBenchmarks!B:B,"Not Found")</f>
        <v>68500</v>
      </c>
      <c r="M25" s="39">
        <f t="shared" si="3"/>
        <v>3088.5</v>
      </c>
      <c r="N25" s="42" t="str">
        <f t="shared" si="1"/>
        <v>Ture</v>
      </c>
      <c r="O25" s="43" t="str">
        <f t="shared" si="2"/>
        <v>May</v>
      </c>
    </row>
    <row r="26" spans="1:15" ht="18" customHeight="1" x14ac:dyDescent="0.35">
      <c r="A26" s="11">
        <v>168453</v>
      </c>
      <c r="B26" s="15">
        <v>45214</v>
      </c>
      <c r="C26" s="30" t="str">
        <f>_xlfn.XLOOKUP(D26,EmployeeMaster!A:A,EmployeeMaster!B:B,0)</f>
        <v>John Taylor</v>
      </c>
      <c r="D26" s="12" t="s">
        <v>43</v>
      </c>
      <c r="E26" s="13" t="s">
        <v>60</v>
      </c>
      <c r="F26" s="31" t="str">
        <f>_xlfn.XLOOKUP(D26,EmployeeMaster!A:A,EmployeeMaster!C:C,0)</f>
        <v>Sales</v>
      </c>
      <c r="G26" s="33" t="s">
        <v>56</v>
      </c>
      <c r="H26" s="12">
        <v>53</v>
      </c>
      <c r="I26" s="12">
        <v>66621</v>
      </c>
      <c r="J26" s="12">
        <v>62557</v>
      </c>
      <c r="K26" s="35" t="s">
        <v>22</v>
      </c>
      <c r="L26" s="37">
        <f>_xlfn.XLOOKUP(K26,RegionBenchmarks!A:A,RegionBenchmarks!B:B,"Not Found")</f>
        <v>50000</v>
      </c>
      <c r="M26" s="39">
        <f t="shared" si="3"/>
        <v>3331.05</v>
      </c>
      <c r="N26" s="42" t="str">
        <f t="shared" si="1"/>
        <v>Ture</v>
      </c>
      <c r="O26" s="43" t="str">
        <f t="shared" si="2"/>
        <v>October</v>
      </c>
    </row>
    <row r="27" spans="1:15" ht="18" customHeight="1" x14ac:dyDescent="0.35">
      <c r="A27" s="11">
        <v>985975</v>
      </c>
      <c r="B27" s="15">
        <v>44942</v>
      </c>
      <c r="C27" s="30" t="str">
        <f>_xlfn.XLOOKUP(D27,EmployeeMaster!A:A,EmployeeMaster!B:B,0)</f>
        <v>Raj Mehta</v>
      </c>
      <c r="D27" s="12" t="s">
        <v>13</v>
      </c>
      <c r="E27" s="13" t="s">
        <v>60</v>
      </c>
      <c r="F27" s="31" t="str">
        <f>_xlfn.XLOOKUP(D27,EmployeeMaster!A:A,EmployeeMaster!C:C,0)</f>
        <v>Marketing</v>
      </c>
      <c r="G27" s="33" t="s">
        <v>57</v>
      </c>
      <c r="H27" s="12">
        <v>54</v>
      </c>
      <c r="I27" s="12">
        <v>95472</v>
      </c>
      <c r="J27" s="12">
        <v>96101</v>
      </c>
      <c r="K27" s="35" t="s">
        <v>17</v>
      </c>
      <c r="L27" s="37">
        <f>_xlfn.XLOOKUP(K27,RegionBenchmarks!A:A,RegionBenchmarks!B:B,"Not Found")</f>
        <v>60000</v>
      </c>
      <c r="M27" s="39">
        <f t="shared" si="3"/>
        <v>0</v>
      </c>
      <c r="N27" s="42" t="str">
        <f t="shared" si="1"/>
        <v>No</v>
      </c>
      <c r="O27" s="43" t="str">
        <f t="shared" si="2"/>
        <v>January</v>
      </c>
    </row>
    <row r="28" spans="1:15" ht="18" customHeight="1" x14ac:dyDescent="0.35">
      <c r="A28" s="11">
        <v>177349</v>
      </c>
      <c r="B28" s="15">
        <v>45208</v>
      </c>
      <c r="C28" s="30" t="str">
        <f>_xlfn.XLOOKUP(D28,EmployeeMaster!A:A,EmployeeMaster!B:B,0)</f>
        <v>Raj Mehta</v>
      </c>
      <c r="D28" s="12" t="s">
        <v>13</v>
      </c>
      <c r="E28" s="13" t="s">
        <v>60</v>
      </c>
      <c r="F28" s="31" t="str">
        <f>_xlfn.XLOOKUP(D28,EmployeeMaster!A:A,EmployeeMaster!C:C,0)</f>
        <v>Marketing</v>
      </c>
      <c r="G28" s="33" t="s">
        <v>55</v>
      </c>
      <c r="H28" s="12">
        <v>38</v>
      </c>
      <c r="I28" s="12">
        <v>54910</v>
      </c>
      <c r="J28" s="12">
        <v>57319</v>
      </c>
      <c r="K28" s="35" t="s">
        <v>17</v>
      </c>
      <c r="L28" s="37">
        <f>_xlfn.XLOOKUP(K28,RegionBenchmarks!A:A,RegionBenchmarks!B:B,"Not Found")</f>
        <v>60000</v>
      </c>
      <c r="M28" s="39">
        <f t="shared" si="3"/>
        <v>0</v>
      </c>
      <c r="N28" s="42" t="str">
        <f t="shared" si="1"/>
        <v>No</v>
      </c>
      <c r="O28" s="43" t="str">
        <f t="shared" si="2"/>
        <v>October</v>
      </c>
    </row>
    <row r="29" spans="1:15" ht="18" customHeight="1" x14ac:dyDescent="0.35">
      <c r="A29" s="11">
        <v>717424</v>
      </c>
      <c r="B29" s="15">
        <v>45206</v>
      </c>
      <c r="C29" s="30" t="str">
        <f>_xlfn.XLOOKUP(D29,EmployeeMaster!A:A,EmployeeMaster!B:B,0)</f>
        <v>Joe Lyn</v>
      </c>
      <c r="D29" s="12" t="s">
        <v>31</v>
      </c>
      <c r="E29" s="13" t="s">
        <v>60</v>
      </c>
      <c r="F29" s="31" t="str">
        <f>_xlfn.XLOOKUP(D29,EmployeeMaster!A:A,EmployeeMaster!C:C,0)</f>
        <v>Sales</v>
      </c>
      <c r="G29" s="33" t="s">
        <v>55</v>
      </c>
      <c r="H29" s="12">
        <v>52</v>
      </c>
      <c r="I29" s="12">
        <v>92560</v>
      </c>
      <c r="J29" s="12">
        <v>94633</v>
      </c>
      <c r="K29" s="35" t="s">
        <v>34</v>
      </c>
      <c r="L29" s="37">
        <f>_xlfn.XLOOKUP(K29,RegionBenchmarks!A:A,RegionBenchmarks!B:B,"Not Found")</f>
        <v>45000</v>
      </c>
      <c r="M29" s="39">
        <f t="shared" si="3"/>
        <v>0</v>
      </c>
      <c r="N29" s="42" t="str">
        <f t="shared" si="1"/>
        <v>No</v>
      </c>
      <c r="O29" s="43" t="str">
        <f t="shared" si="2"/>
        <v>October</v>
      </c>
    </row>
    <row r="30" spans="1:15" ht="18" customHeight="1" x14ac:dyDescent="0.35">
      <c r="A30" s="11">
        <v>627211</v>
      </c>
      <c r="B30" s="15">
        <v>44971</v>
      </c>
      <c r="C30" s="30" t="str">
        <f>_xlfn.XLOOKUP(D30,EmployeeMaster!A:A,EmployeeMaster!B:B,0)</f>
        <v>Joe Lyn</v>
      </c>
      <c r="D30" s="12" t="s">
        <v>31</v>
      </c>
      <c r="E30" s="13" t="s">
        <v>60</v>
      </c>
      <c r="F30" s="31" t="str">
        <f>_xlfn.XLOOKUP(D30,EmployeeMaster!A:A,EmployeeMaster!C:C,0)</f>
        <v>Sales</v>
      </c>
      <c r="G30" s="33" t="s">
        <v>55</v>
      </c>
      <c r="H30" s="12">
        <v>60</v>
      </c>
      <c r="I30" s="12">
        <v>91140</v>
      </c>
      <c r="J30" s="12">
        <v>86163</v>
      </c>
      <c r="K30" s="35" t="s">
        <v>34</v>
      </c>
      <c r="L30" s="37">
        <f>_xlfn.XLOOKUP(K30,RegionBenchmarks!A:A,RegionBenchmarks!B:B,"Not Found")</f>
        <v>45000</v>
      </c>
      <c r="M30" s="39">
        <f t="shared" si="3"/>
        <v>4557</v>
      </c>
      <c r="N30" s="42" t="str">
        <f t="shared" si="1"/>
        <v>Ture</v>
      </c>
      <c r="O30" s="43" t="str">
        <f t="shared" si="2"/>
        <v>February</v>
      </c>
    </row>
    <row r="31" spans="1:15" ht="18" customHeight="1" x14ac:dyDescent="0.35">
      <c r="A31" s="11">
        <v>253564</v>
      </c>
      <c r="B31" s="15">
        <v>45011</v>
      </c>
      <c r="C31" s="30" t="str">
        <f>_xlfn.XLOOKUP(D31,EmployeeMaster!A:A,EmployeeMaster!B:B,0)</f>
        <v>Fatima Zhang</v>
      </c>
      <c r="D31" s="12" t="s">
        <v>36</v>
      </c>
      <c r="E31" s="13" t="s">
        <v>60</v>
      </c>
      <c r="F31" s="31" t="str">
        <f>_xlfn.XLOOKUP(D31,EmployeeMaster!A:A,EmployeeMaster!C:C,0)</f>
        <v>Sales</v>
      </c>
      <c r="G31" s="33" t="s">
        <v>55</v>
      </c>
      <c r="H31" s="12">
        <v>30</v>
      </c>
      <c r="I31" s="12">
        <v>46560</v>
      </c>
      <c r="J31" s="12">
        <v>38803</v>
      </c>
      <c r="K31" s="35" t="s">
        <v>17</v>
      </c>
      <c r="L31" s="37">
        <f>_xlfn.XLOOKUP(K31,RegionBenchmarks!A:A,RegionBenchmarks!B:B,"Not Found")</f>
        <v>60000</v>
      </c>
      <c r="M31" s="39">
        <f t="shared" si="3"/>
        <v>2328</v>
      </c>
      <c r="N31" s="42" t="str">
        <f t="shared" si="1"/>
        <v>Ture</v>
      </c>
      <c r="O31" s="43" t="str">
        <f t="shared" si="2"/>
        <v>March</v>
      </c>
    </row>
    <row r="32" spans="1:15" ht="18" customHeight="1" x14ac:dyDescent="0.35">
      <c r="A32" s="11">
        <v>949565</v>
      </c>
      <c r="B32" s="15">
        <v>45092</v>
      </c>
      <c r="C32" s="30" t="str">
        <f>_xlfn.XLOOKUP(D32,EmployeeMaster!A:A,EmployeeMaster!B:B,0)</f>
        <v>Fatima Zhang</v>
      </c>
      <c r="D32" s="12" t="s">
        <v>36</v>
      </c>
      <c r="E32" s="13" t="s">
        <v>60</v>
      </c>
      <c r="F32" s="31" t="str">
        <f>_xlfn.XLOOKUP(D32,EmployeeMaster!A:A,EmployeeMaster!C:C,0)</f>
        <v>Sales</v>
      </c>
      <c r="G32" s="33" t="s">
        <v>57</v>
      </c>
      <c r="H32" s="12">
        <v>51</v>
      </c>
      <c r="I32" s="12">
        <v>51969</v>
      </c>
      <c r="J32" s="12">
        <v>55137</v>
      </c>
      <c r="K32" s="35" t="s">
        <v>17</v>
      </c>
      <c r="L32" s="37">
        <f>_xlfn.XLOOKUP(K32,RegionBenchmarks!A:A,RegionBenchmarks!B:B,"Not Found")</f>
        <v>60000</v>
      </c>
      <c r="M32" s="39">
        <f t="shared" si="3"/>
        <v>0</v>
      </c>
      <c r="N32" s="42" t="str">
        <f t="shared" si="1"/>
        <v>No</v>
      </c>
      <c r="O32" s="43" t="str">
        <f t="shared" si="2"/>
        <v>June</v>
      </c>
    </row>
    <row r="33" spans="1:15" ht="18" customHeight="1" x14ac:dyDescent="0.35">
      <c r="A33" s="11">
        <v>756995</v>
      </c>
      <c r="B33" s="15">
        <v>45068</v>
      </c>
      <c r="C33" s="30" t="str">
        <f>_xlfn.XLOOKUP(D33,EmployeeMaster!A:A,EmployeeMaster!B:B,0)</f>
        <v>Christi Davis</v>
      </c>
      <c r="D33" s="12" t="s">
        <v>25</v>
      </c>
      <c r="E33" s="13" t="s">
        <v>60</v>
      </c>
      <c r="F33" s="31" t="str">
        <f>_xlfn.XLOOKUP(D33,EmployeeMaster!A:A,EmployeeMaster!C:C,0)</f>
        <v>Operations</v>
      </c>
      <c r="G33" s="33" t="s">
        <v>55</v>
      </c>
      <c r="H33" s="12">
        <v>23</v>
      </c>
      <c r="I33" s="12">
        <v>28658</v>
      </c>
      <c r="J33" s="12">
        <v>19273</v>
      </c>
      <c r="K33" s="35" t="s">
        <v>29</v>
      </c>
      <c r="L33" s="37">
        <f>_xlfn.XLOOKUP(K33,RegionBenchmarks!A:A,RegionBenchmarks!B:B,"Not Found")</f>
        <v>55000</v>
      </c>
      <c r="M33" s="39">
        <f t="shared" si="3"/>
        <v>1432.9</v>
      </c>
      <c r="N33" s="42" t="str">
        <f t="shared" si="1"/>
        <v>Ture</v>
      </c>
      <c r="O33" s="43" t="str">
        <f t="shared" si="2"/>
        <v>May</v>
      </c>
    </row>
    <row r="34" spans="1:15" ht="18" customHeight="1" x14ac:dyDescent="0.35">
      <c r="A34" s="11">
        <v>808505</v>
      </c>
      <c r="B34" s="15">
        <v>45250</v>
      </c>
      <c r="C34" s="30" t="str">
        <f>_xlfn.XLOOKUP(D34,EmployeeMaster!A:A,EmployeeMaster!B:B,0)</f>
        <v>Raj Mehta</v>
      </c>
      <c r="D34" s="12" t="s">
        <v>13</v>
      </c>
      <c r="E34" s="13" t="s">
        <v>60</v>
      </c>
      <c r="F34" s="31" t="str">
        <f>_xlfn.XLOOKUP(D34,EmployeeMaster!A:A,EmployeeMaster!C:C,0)</f>
        <v>Marketing</v>
      </c>
      <c r="G34" s="33" t="s">
        <v>55</v>
      </c>
      <c r="H34" s="12">
        <v>51</v>
      </c>
      <c r="I34" s="12">
        <v>93585</v>
      </c>
      <c r="J34" s="12">
        <v>97452</v>
      </c>
      <c r="K34" s="35" t="s">
        <v>17</v>
      </c>
      <c r="L34" s="37">
        <f>_xlfn.XLOOKUP(K34,RegionBenchmarks!A:A,RegionBenchmarks!B:B,"Not Found")</f>
        <v>60000</v>
      </c>
      <c r="M34" s="39">
        <f t="shared" si="3"/>
        <v>0</v>
      </c>
      <c r="N34" s="42" t="str">
        <f t="shared" si="1"/>
        <v>No</v>
      </c>
      <c r="O34" s="43" t="str">
        <f t="shared" si="2"/>
        <v>November</v>
      </c>
    </row>
    <row r="35" spans="1:15" ht="18" customHeight="1" x14ac:dyDescent="0.35">
      <c r="A35" s="11">
        <v>870287</v>
      </c>
      <c r="B35" s="15">
        <v>45282</v>
      </c>
      <c r="C35" s="30" t="str">
        <f>_xlfn.XLOOKUP(D35,EmployeeMaster!A:A,EmployeeMaster!B:B,0)</f>
        <v>Ronn Robinson</v>
      </c>
      <c r="D35" s="12" t="s">
        <v>19</v>
      </c>
      <c r="E35" s="13" t="s">
        <v>61</v>
      </c>
      <c r="F35" s="31" t="str">
        <f>_xlfn.XLOOKUP(D35,EmployeeMaster!A:A,EmployeeMaster!C:C,0)</f>
        <v>Sales</v>
      </c>
      <c r="G35" s="33" t="s">
        <v>57</v>
      </c>
      <c r="H35" s="12">
        <v>50</v>
      </c>
      <c r="I35" s="12">
        <v>98450</v>
      </c>
      <c r="J35" s="12">
        <v>94443</v>
      </c>
      <c r="K35" s="35" t="s">
        <v>22</v>
      </c>
      <c r="L35" s="37">
        <f>_xlfn.XLOOKUP(K35,RegionBenchmarks!A:A,RegionBenchmarks!B:B,"Not Found")</f>
        <v>50000</v>
      </c>
      <c r="M35" s="39">
        <f t="shared" si="3"/>
        <v>4922.5</v>
      </c>
      <c r="N35" s="42" t="str">
        <f t="shared" si="1"/>
        <v>Ture</v>
      </c>
      <c r="O35" s="43" t="str">
        <f t="shared" si="2"/>
        <v>December</v>
      </c>
    </row>
    <row r="36" spans="1:15" ht="18" customHeight="1" x14ac:dyDescent="0.35">
      <c r="A36" s="11">
        <v>646329</v>
      </c>
      <c r="B36" s="15">
        <v>45130</v>
      </c>
      <c r="C36" s="30" t="str">
        <f>_xlfn.XLOOKUP(D36,EmployeeMaster!A:A,EmployeeMaster!B:B,0)</f>
        <v>Martina Brands</v>
      </c>
      <c r="D36" s="12" t="s">
        <v>39</v>
      </c>
      <c r="E36" s="13" t="s">
        <v>61</v>
      </c>
      <c r="F36" s="31" t="str">
        <f>_xlfn.XLOOKUP(D36,EmployeeMaster!A:A,EmployeeMaster!C:C,0)</f>
        <v>Marketing</v>
      </c>
      <c r="G36" s="33" t="s">
        <v>56</v>
      </c>
      <c r="H36" s="12">
        <v>33</v>
      </c>
      <c r="I36" s="12">
        <v>64383</v>
      </c>
      <c r="J36" s="12">
        <v>60548</v>
      </c>
      <c r="K36" s="35" t="s">
        <v>10</v>
      </c>
      <c r="L36" s="37">
        <f>_xlfn.XLOOKUP(K36,RegionBenchmarks!A:A,RegionBenchmarks!B:B,"Not Found")</f>
        <v>68500</v>
      </c>
      <c r="M36" s="39">
        <f t="shared" si="3"/>
        <v>3219.15</v>
      </c>
      <c r="N36" s="42" t="str">
        <f t="shared" si="1"/>
        <v>Ture</v>
      </c>
      <c r="O36" s="43" t="str">
        <f t="shared" si="2"/>
        <v>July</v>
      </c>
    </row>
    <row r="37" spans="1:15" ht="18" customHeight="1" x14ac:dyDescent="0.35">
      <c r="A37" s="11">
        <v>236087</v>
      </c>
      <c r="B37" s="15">
        <v>45216</v>
      </c>
      <c r="C37" s="30" t="str">
        <f>_xlfn.XLOOKUP(D37,EmployeeMaster!A:A,EmployeeMaster!B:B,0)</f>
        <v>Christi Davis</v>
      </c>
      <c r="D37" s="12" t="s">
        <v>25</v>
      </c>
      <c r="E37" s="13" t="s">
        <v>61</v>
      </c>
      <c r="F37" s="31" t="str">
        <f>_xlfn.XLOOKUP(D37,EmployeeMaster!A:A,EmployeeMaster!C:C,0)</f>
        <v>Operations</v>
      </c>
      <c r="G37" s="33" t="s">
        <v>57</v>
      </c>
      <c r="H37" s="12">
        <v>39</v>
      </c>
      <c r="I37" s="12">
        <v>54912</v>
      </c>
      <c r="J37" s="12">
        <v>48908</v>
      </c>
      <c r="K37" s="35" t="s">
        <v>29</v>
      </c>
      <c r="L37" s="37">
        <f>_xlfn.XLOOKUP(K37,RegionBenchmarks!A:A,RegionBenchmarks!B:B,"Not Found")</f>
        <v>55000</v>
      </c>
      <c r="M37" s="39">
        <f t="shared" si="3"/>
        <v>2745.6000000000004</v>
      </c>
      <c r="N37" s="42" t="str">
        <f t="shared" si="1"/>
        <v>Ture</v>
      </c>
      <c r="O37" s="43" t="str">
        <f t="shared" si="2"/>
        <v>October</v>
      </c>
    </row>
    <row r="38" spans="1:15" ht="18" customHeight="1" x14ac:dyDescent="0.35">
      <c r="A38" s="11">
        <v>396076</v>
      </c>
      <c r="B38" s="15">
        <v>45160</v>
      </c>
      <c r="C38" s="30" t="str">
        <f>_xlfn.XLOOKUP(D38,EmployeeMaster!A:A,EmployeeMaster!B:B,0)</f>
        <v>John Taylor</v>
      </c>
      <c r="D38" s="12" t="s">
        <v>43</v>
      </c>
      <c r="E38" s="13" t="s">
        <v>61</v>
      </c>
      <c r="F38" s="31" t="str">
        <f>_xlfn.XLOOKUP(D38,EmployeeMaster!A:A,EmployeeMaster!C:C,0)</f>
        <v>Sales</v>
      </c>
      <c r="G38" s="33" t="s">
        <v>55</v>
      </c>
      <c r="H38" s="12">
        <v>53</v>
      </c>
      <c r="I38" s="12">
        <v>77486</v>
      </c>
      <c r="J38" s="12">
        <v>80504</v>
      </c>
      <c r="K38" s="35" t="s">
        <v>22</v>
      </c>
      <c r="L38" s="37">
        <f>_xlfn.XLOOKUP(K38,RegionBenchmarks!A:A,RegionBenchmarks!B:B,"Not Found")</f>
        <v>50000</v>
      </c>
      <c r="M38" s="39">
        <f t="shared" si="3"/>
        <v>0</v>
      </c>
      <c r="N38" s="42" t="str">
        <f t="shared" si="1"/>
        <v>No</v>
      </c>
      <c r="O38" s="43" t="str">
        <f t="shared" si="2"/>
        <v>August</v>
      </c>
    </row>
    <row r="39" spans="1:15" ht="18" customHeight="1" x14ac:dyDescent="0.35">
      <c r="A39" s="11">
        <v>669417</v>
      </c>
      <c r="B39" s="15">
        <v>45262</v>
      </c>
      <c r="C39" s="30" t="str">
        <f>_xlfn.XLOOKUP(D39,EmployeeMaster!A:A,EmployeeMaster!B:B,0)</f>
        <v>Raj Mehta</v>
      </c>
      <c r="D39" s="12" t="s">
        <v>13</v>
      </c>
      <c r="E39" s="13" t="s">
        <v>61</v>
      </c>
      <c r="F39" s="31" t="str">
        <f>_xlfn.XLOOKUP(D39,EmployeeMaster!A:A,EmployeeMaster!C:C,0)</f>
        <v>Marketing</v>
      </c>
      <c r="G39" s="33" t="s">
        <v>55</v>
      </c>
      <c r="H39" s="12">
        <v>41</v>
      </c>
      <c r="I39" s="12">
        <v>41861</v>
      </c>
      <c r="J39" s="12">
        <v>37223</v>
      </c>
      <c r="K39" s="35" t="s">
        <v>17</v>
      </c>
      <c r="L39" s="37">
        <f>_xlfn.XLOOKUP(K39,RegionBenchmarks!A:A,RegionBenchmarks!B:B,"Not Found")</f>
        <v>60000</v>
      </c>
      <c r="M39" s="39">
        <f t="shared" si="3"/>
        <v>2093.0500000000002</v>
      </c>
      <c r="N39" s="42" t="str">
        <f t="shared" si="1"/>
        <v>Ture</v>
      </c>
      <c r="O39" s="43" t="str">
        <f t="shared" si="2"/>
        <v>December</v>
      </c>
    </row>
    <row r="40" spans="1:15" ht="18" customHeight="1" x14ac:dyDescent="0.35">
      <c r="A40" s="11">
        <v>624149</v>
      </c>
      <c r="B40" s="15">
        <v>45285</v>
      </c>
      <c r="C40" s="30" t="str">
        <f>_xlfn.XLOOKUP(D40,EmployeeMaster!A:A,EmployeeMaster!B:B,0)</f>
        <v>Christi Davis</v>
      </c>
      <c r="D40" s="12" t="s">
        <v>25</v>
      </c>
      <c r="E40" s="13" t="s">
        <v>61</v>
      </c>
      <c r="F40" s="31" t="str">
        <f>_xlfn.XLOOKUP(D40,EmployeeMaster!A:A,EmployeeMaster!C:C,0)</f>
        <v>Operations</v>
      </c>
      <c r="G40" s="33" t="s">
        <v>55</v>
      </c>
      <c r="H40" s="12">
        <v>20</v>
      </c>
      <c r="I40" s="12">
        <v>21440</v>
      </c>
      <c r="J40" s="12">
        <v>14843</v>
      </c>
      <c r="K40" s="35" t="s">
        <v>29</v>
      </c>
      <c r="L40" s="37">
        <f>_xlfn.XLOOKUP(K40,RegionBenchmarks!A:A,RegionBenchmarks!B:B,"Not Found")</f>
        <v>55000</v>
      </c>
      <c r="M40" s="39">
        <f t="shared" si="3"/>
        <v>1072</v>
      </c>
      <c r="N40" s="42" t="str">
        <f t="shared" si="1"/>
        <v>Ture</v>
      </c>
      <c r="O40" s="43" t="str">
        <f t="shared" si="2"/>
        <v>December</v>
      </c>
    </row>
    <row r="41" spans="1:15" ht="18" customHeight="1" x14ac:dyDescent="0.35">
      <c r="A41" s="11">
        <v>804827</v>
      </c>
      <c r="B41" s="15">
        <v>45192</v>
      </c>
      <c r="C41" s="30" t="str">
        <f>_xlfn.XLOOKUP(D41,EmployeeMaster!A:A,EmployeeMaster!B:B,0)</f>
        <v>Christi Davis</v>
      </c>
      <c r="D41" s="12" t="s">
        <v>25</v>
      </c>
      <c r="E41" s="13" t="s">
        <v>61</v>
      </c>
      <c r="F41" s="31" t="str">
        <f>_xlfn.XLOOKUP(D41,EmployeeMaster!A:A,EmployeeMaster!C:C,0)</f>
        <v>Operations</v>
      </c>
      <c r="G41" s="33" t="s">
        <v>55</v>
      </c>
      <c r="H41" s="12">
        <v>24</v>
      </c>
      <c r="I41" s="12">
        <v>46248</v>
      </c>
      <c r="J41" s="12">
        <v>50734</v>
      </c>
      <c r="K41" s="35" t="s">
        <v>29</v>
      </c>
      <c r="L41" s="37">
        <f>_xlfn.XLOOKUP(K41,RegionBenchmarks!A:A,RegionBenchmarks!B:B,"Not Found")</f>
        <v>55000</v>
      </c>
      <c r="M41" s="39">
        <f t="shared" si="3"/>
        <v>0</v>
      </c>
      <c r="N41" s="42" t="str">
        <f t="shared" si="1"/>
        <v>No</v>
      </c>
      <c r="O41" s="43" t="str">
        <f t="shared" si="2"/>
        <v>September</v>
      </c>
    </row>
    <row r="42" spans="1:15" ht="18" customHeight="1" x14ac:dyDescent="0.35">
      <c r="A42" s="11">
        <v>428406</v>
      </c>
      <c r="B42" s="15">
        <v>45123</v>
      </c>
      <c r="C42" s="30" t="str">
        <f>_xlfn.XLOOKUP(D42,EmployeeMaster!A:A,EmployeeMaster!B:B,0)</f>
        <v>Christi Davis</v>
      </c>
      <c r="D42" s="12" t="s">
        <v>25</v>
      </c>
      <c r="E42" s="13" t="s">
        <v>61</v>
      </c>
      <c r="F42" s="31" t="str">
        <f>_xlfn.XLOOKUP(D42,EmployeeMaster!A:A,EmployeeMaster!C:C,0)</f>
        <v>Operations</v>
      </c>
      <c r="G42" s="33" t="s">
        <v>56</v>
      </c>
      <c r="H42" s="12">
        <v>37</v>
      </c>
      <c r="I42" s="12">
        <v>62345</v>
      </c>
      <c r="J42" s="12">
        <v>59392</v>
      </c>
      <c r="K42" s="35" t="s">
        <v>29</v>
      </c>
      <c r="L42" s="37">
        <f>_xlfn.XLOOKUP(K42,RegionBenchmarks!A:A,RegionBenchmarks!B:B,"Not Found")</f>
        <v>55000</v>
      </c>
      <c r="M42" s="39">
        <f t="shared" si="3"/>
        <v>3117.25</v>
      </c>
      <c r="N42" s="42" t="str">
        <f t="shared" si="1"/>
        <v>Ture</v>
      </c>
      <c r="O42" s="43" t="str">
        <f t="shared" si="2"/>
        <v>July</v>
      </c>
    </row>
    <row r="43" spans="1:15" ht="18" customHeight="1" x14ac:dyDescent="0.35">
      <c r="A43" s="11">
        <v>429678</v>
      </c>
      <c r="B43" s="15">
        <v>44962</v>
      </c>
      <c r="C43" s="30" t="str">
        <f>_xlfn.XLOOKUP(D43,EmployeeMaster!A:A,EmployeeMaster!B:B,0)</f>
        <v>Ronn Robinson</v>
      </c>
      <c r="D43" s="12" t="s">
        <v>19</v>
      </c>
      <c r="E43" s="13" t="s">
        <v>61</v>
      </c>
      <c r="F43" s="31" t="str">
        <f>_xlfn.XLOOKUP(D43,EmployeeMaster!A:A,EmployeeMaster!C:C,0)</f>
        <v>Sales</v>
      </c>
      <c r="G43" s="33" t="s">
        <v>57</v>
      </c>
      <c r="H43" s="12">
        <v>56</v>
      </c>
      <c r="I43" s="12">
        <v>89040</v>
      </c>
      <c r="J43" s="12">
        <v>86296</v>
      </c>
      <c r="K43" s="35" t="s">
        <v>22</v>
      </c>
      <c r="L43" s="37">
        <f>_xlfn.XLOOKUP(K43,RegionBenchmarks!A:A,RegionBenchmarks!B:B,"Not Found")</f>
        <v>50000</v>
      </c>
      <c r="M43" s="39">
        <f t="shared" si="3"/>
        <v>4452</v>
      </c>
      <c r="N43" s="42" t="str">
        <f t="shared" si="1"/>
        <v>Ture</v>
      </c>
      <c r="O43" s="43" t="str">
        <f t="shared" si="2"/>
        <v>February</v>
      </c>
    </row>
    <row r="44" spans="1:15" ht="18" customHeight="1" x14ac:dyDescent="0.35">
      <c r="A44" s="11">
        <v>491866</v>
      </c>
      <c r="B44" s="15">
        <v>45278</v>
      </c>
      <c r="C44" s="30" t="str">
        <f>_xlfn.XLOOKUP(D44,EmployeeMaster!A:A,EmployeeMaster!B:B,0)</f>
        <v>Martina Brands</v>
      </c>
      <c r="D44" s="12" t="s">
        <v>39</v>
      </c>
      <c r="E44" s="13" t="s">
        <v>62</v>
      </c>
      <c r="F44" s="31" t="str">
        <f>_xlfn.XLOOKUP(D44,EmployeeMaster!A:A,EmployeeMaster!C:C,0)</f>
        <v>Marketing</v>
      </c>
      <c r="G44" s="33" t="s">
        <v>57</v>
      </c>
      <c r="H44" s="12">
        <v>32</v>
      </c>
      <c r="I44" s="12">
        <v>35072</v>
      </c>
      <c r="J44" s="12">
        <v>38484</v>
      </c>
      <c r="K44" s="35" t="s">
        <v>10</v>
      </c>
      <c r="L44" s="37">
        <f>_xlfn.XLOOKUP(K44,RegionBenchmarks!A:A,RegionBenchmarks!B:B,"Not Found")</f>
        <v>68500</v>
      </c>
      <c r="M44" s="39">
        <f t="shared" ref="M44:M75" si="4">IF(I44&gt;=J44,I44*5%,0)</f>
        <v>0</v>
      </c>
      <c r="N44" s="42" t="str">
        <f t="shared" si="1"/>
        <v>No</v>
      </c>
      <c r="O44" s="43" t="str">
        <f t="shared" si="2"/>
        <v>December</v>
      </c>
    </row>
    <row r="45" spans="1:15" ht="18" customHeight="1" x14ac:dyDescent="0.35">
      <c r="A45" s="11">
        <v>911594</v>
      </c>
      <c r="B45" s="15">
        <v>45088</v>
      </c>
      <c r="C45" s="30" t="str">
        <f>_xlfn.XLOOKUP(D45,EmployeeMaster!A:A,EmployeeMaster!B:B,0)</f>
        <v>Fatima Zhang</v>
      </c>
      <c r="D45" s="12" t="s">
        <v>36</v>
      </c>
      <c r="E45" s="13" t="s">
        <v>62</v>
      </c>
      <c r="F45" s="31" t="str">
        <f>_xlfn.XLOOKUP(D45,EmployeeMaster!A:A,EmployeeMaster!C:C,0)</f>
        <v>Sales</v>
      </c>
      <c r="G45" s="33" t="s">
        <v>55</v>
      </c>
      <c r="H45" s="12">
        <v>47</v>
      </c>
      <c r="I45" s="12">
        <v>66740</v>
      </c>
      <c r="J45" s="12">
        <v>64089</v>
      </c>
      <c r="K45" s="35" t="s">
        <v>17</v>
      </c>
      <c r="L45" s="37">
        <f>_xlfn.XLOOKUP(K45,RegionBenchmarks!A:A,RegionBenchmarks!B:B,"Not Found")</f>
        <v>60000</v>
      </c>
      <c r="M45" s="39">
        <f t="shared" si="4"/>
        <v>3337</v>
      </c>
      <c r="N45" s="42" t="str">
        <f t="shared" si="1"/>
        <v>Ture</v>
      </c>
      <c r="O45" s="43" t="str">
        <f t="shared" si="2"/>
        <v>June</v>
      </c>
    </row>
    <row r="46" spans="1:15" ht="18" customHeight="1" x14ac:dyDescent="0.35">
      <c r="A46" s="11">
        <v>148280</v>
      </c>
      <c r="B46" s="15">
        <v>45264</v>
      </c>
      <c r="C46" s="30" t="str">
        <f>_xlfn.XLOOKUP(D46,EmployeeMaster!A:A,EmployeeMaster!B:B,0)</f>
        <v>Raj Mehta</v>
      </c>
      <c r="D46" s="12" t="s">
        <v>13</v>
      </c>
      <c r="E46" s="13" t="s">
        <v>62</v>
      </c>
      <c r="F46" s="31" t="str">
        <f>_xlfn.XLOOKUP(D46,EmployeeMaster!A:A,EmployeeMaster!C:C,0)</f>
        <v>Marketing</v>
      </c>
      <c r="G46" s="33" t="s">
        <v>55</v>
      </c>
      <c r="H46" s="12">
        <v>23</v>
      </c>
      <c r="I46" s="12">
        <v>32476</v>
      </c>
      <c r="J46" s="12">
        <v>25545</v>
      </c>
      <c r="K46" s="35" t="s">
        <v>17</v>
      </c>
      <c r="L46" s="37">
        <f>_xlfn.XLOOKUP(K46,RegionBenchmarks!A:A,RegionBenchmarks!B:B,"Not Found")</f>
        <v>60000</v>
      </c>
      <c r="M46" s="39">
        <f t="shared" si="4"/>
        <v>1623.8000000000002</v>
      </c>
      <c r="N46" s="42" t="str">
        <f t="shared" si="1"/>
        <v>Ture</v>
      </c>
      <c r="O46" s="43" t="str">
        <f t="shared" si="2"/>
        <v>December</v>
      </c>
    </row>
    <row r="47" spans="1:15" ht="18" customHeight="1" x14ac:dyDescent="0.35">
      <c r="A47" s="11">
        <v>141868</v>
      </c>
      <c r="B47" s="15">
        <v>45124</v>
      </c>
      <c r="C47" s="30" t="str">
        <f>_xlfn.XLOOKUP(D47,EmployeeMaster!A:A,EmployeeMaster!B:B,0)</f>
        <v>Christi Davis</v>
      </c>
      <c r="D47" s="12" t="s">
        <v>25</v>
      </c>
      <c r="E47" s="13" t="s">
        <v>62</v>
      </c>
      <c r="F47" s="31" t="str">
        <f>_xlfn.XLOOKUP(D47,EmployeeMaster!A:A,EmployeeMaster!C:C,0)</f>
        <v>Operations</v>
      </c>
      <c r="G47" s="33" t="s">
        <v>55</v>
      </c>
      <c r="H47" s="12">
        <v>32</v>
      </c>
      <c r="I47" s="12">
        <v>38208</v>
      </c>
      <c r="J47" s="12">
        <v>34422</v>
      </c>
      <c r="K47" s="35" t="s">
        <v>29</v>
      </c>
      <c r="L47" s="37">
        <f>_xlfn.XLOOKUP(K47,RegionBenchmarks!A:A,RegionBenchmarks!B:B,"Not Found")</f>
        <v>55000</v>
      </c>
      <c r="M47" s="39">
        <f t="shared" si="4"/>
        <v>1910.4</v>
      </c>
      <c r="N47" s="42" t="str">
        <f t="shared" si="1"/>
        <v>Ture</v>
      </c>
      <c r="O47" s="43" t="str">
        <f t="shared" si="2"/>
        <v>July</v>
      </c>
    </row>
    <row r="48" spans="1:15" ht="18" customHeight="1" x14ac:dyDescent="0.35">
      <c r="A48" s="11">
        <v>961598</v>
      </c>
      <c r="B48" s="15">
        <v>45218</v>
      </c>
      <c r="C48" s="30" t="str">
        <f>_xlfn.XLOOKUP(D48,EmployeeMaster!A:A,EmployeeMaster!B:B,0)</f>
        <v>Martina Brands</v>
      </c>
      <c r="D48" s="12" t="s">
        <v>39</v>
      </c>
      <c r="E48" s="13" t="s">
        <v>62</v>
      </c>
      <c r="F48" s="31" t="str">
        <f>_xlfn.XLOOKUP(D48,EmployeeMaster!A:A,EmployeeMaster!C:C,0)</f>
        <v>Marketing</v>
      </c>
      <c r="G48" s="33" t="s">
        <v>55</v>
      </c>
      <c r="H48" s="12">
        <v>31</v>
      </c>
      <c r="I48" s="12">
        <v>39835</v>
      </c>
      <c r="J48" s="12">
        <v>37256</v>
      </c>
      <c r="K48" s="35" t="s">
        <v>10</v>
      </c>
      <c r="L48" s="37">
        <f>_xlfn.XLOOKUP(K48,RegionBenchmarks!A:A,RegionBenchmarks!B:B,"Not Found")</f>
        <v>68500</v>
      </c>
      <c r="M48" s="39">
        <f t="shared" si="4"/>
        <v>1991.75</v>
      </c>
      <c r="N48" s="42" t="str">
        <f t="shared" si="1"/>
        <v>Ture</v>
      </c>
      <c r="O48" s="43" t="str">
        <f t="shared" si="2"/>
        <v>October</v>
      </c>
    </row>
    <row r="49" spans="1:15" ht="18" customHeight="1" x14ac:dyDescent="0.35">
      <c r="A49" s="11">
        <v>404058</v>
      </c>
      <c r="B49" s="15">
        <v>45061</v>
      </c>
      <c r="C49" s="30" t="str">
        <f>_xlfn.XLOOKUP(D49,EmployeeMaster!A:A,EmployeeMaster!B:B,0)</f>
        <v>John Taylor</v>
      </c>
      <c r="D49" s="12" t="s">
        <v>43</v>
      </c>
      <c r="E49" s="13" t="s">
        <v>62</v>
      </c>
      <c r="F49" s="31" t="str">
        <f>_xlfn.XLOOKUP(D49,EmployeeMaster!A:A,EmployeeMaster!C:C,0)</f>
        <v>Sales</v>
      </c>
      <c r="G49" s="33" t="s">
        <v>56</v>
      </c>
      <c r="H49" s="12">
        <v>55</v>
      </c>
      <c r="I49" s="12">
        <v>60500</v>
      </c>
      <c r="J49" s="12">
        <v>64672</v>
      </c>
      <c r="K49" s="35" t="s">
        <v>22</v>
      </c>
      <c r="L49" s="37">
        <f>_xlfn.XLOOKUP(K49,RegionBenchmarks!A:A,RegionBenchmarks!B:B,"Not Found")</f>
        <v>50000</v>
      </c>
      <c r="M49" s="39">
        <f t="shared" si="4"/>
        <v>0</v>
      </c>
      <c r="N49" s="42" t="str">
        <f t="shared" si="1"/>
        <v>No</v>
      </c>
      <c r="O49" s="43" t="str">
        <f t="shared" si="2"/>
        <v>May</v>
      </c>
    </row>
    <row r="50" spans="1:15" ht="18" customHeight="1" x14ac:dyDescent="0.35">
      <c r="A50" s="11">
        <v>526748</v>
      </c>
      <c r="B50" s="15">
        <v>44969</v>
      </c>
      <c r="C50" s="30" t="str">
        <f>_xlfn.XLOOKUP(D50,EmployeeMaster!A:A,EmployeeMaster!B:B,0)</f>
        <v>Lynda Smith</v>
      </c>
      <c r="D50" s="12" t="s">
        <v>6</v>
      </c>
      <c r="E50" s="13" t="s">
        <v>62</v>
      </c>
      <c r="F50" s="31" t="str">
        <f>_xlfn.XLOOKUP(D50,EmployeeMaster!A:A,EmployeeMaster!C:C,0)</f>
        <v>Sales</v>
      </c>
      <c r="G50" s="33" t="s">
        <v>55</v>
      </c>
      <c r="H50" s="12">
        <v>25</v>
      </c>
      <c r="I50" s="12">
        <v>48700</v>
      </c>
      <c r="J50" s="12">
        <v>41354</v>
      </c>
      <c r="K50" s="35" t="s">
        <v>10</v>
      </c>
      <c r="L50" s="37">
        <f>_xlfn.XLOOKUP(K50,RegionBenchmarks!A:A,RegionBenchmarks!B:B,"Not Found")</f>
        <v>68500</v>
      </c>
      <c r="M50" s="39">
        <f t="shared" si="4"/>
        <v>2435</v>
      </c>
      <c r="N50" s="42" t="str">
        <f t="shared" si="1"/>
        <v>Ture</v>
      </c>
      <c r="O50" s="43" t="str">
        <f t="shared" si="2"/>
        <v>February</v>
      </c>
    </row>
    <row r="51" spans="1:15" ht="18" customHeight="1" x14ac:dyDescent="0.35">
      <c r="A51" s="11">
        <v>440859</v>
      </c>
      <c r="B51" s="15">
        <v>45201</v>
      </c>
      <c r="C51" s="30" t="str">
        <f>_xlfn.XLOOKUP(D51,EmployeeMaster!A:A,EmployeeMaster!B:B,0)</f>
        <v>Martina Brands</v>
      </c>
      <c r="D51" s="12" t="s">
        <v>39</v>
      </c>
      <c r="E51" s="13" t="s">
        <v>62</v>
      </c>
      <c r="F51" s="31" t="str">
        <f>_xlfn.XLOOKUP(D51,EmployeeMaster!A:A,EmployeeMaster!C:C,0)</f>
        <v>Marketing</v>
      </c>
      <c r="G51" s="33" t="s">
        <v>55</v>
      </c>
      <c r="H51" s="12">
        <v>51</v>
      </c>
      <c r="I51" s="12">
        <v>76092</v>
      </c>
      <c r="J51" s="12">
        <v>77590</v>
      </c>
      <c r="K51" s="35" t="s">
        <v>10</v>
      </c>
      <c r="L51" s="37">
        <f>_xlfn.XLOOKUP(K51,RegionBenchmarks!A:A,RegionBenchmarks!B:B,"Not Found")</f>
        <v>68500</v>
      </c>
      <c r="M51" s="39">
        <f t="shared" si="4"/>
        <v>0</v>
      </c>
      <c r="N51" s="42" t="str">
        <f t="shared" si="1"/>
        <v>No</v>
      </c>
      <c r="O51" s="43" t="str">
        <f t="shared" si="2"/>
        <v>October</v>
      </c>
    </row>
    <row r="52" spans="1:15" ht="18" customHeight="1" x14ac:dyDescent="0.35">
      <c r="A52" s="11">
        <v>703768</v>
      </c>
      <c r="B52" s="15">
        <v>44956</v>
      </c>
      <c r="C52" s="30" t="str">
        <f>_xlfn.XLOOKUP(D52,EmployeeMaster!A:A,EmployeeMaster!B:B,0)</f>
        <v>Ronn Robinson</v>
      </c>
      <c r="D52" s="12" t="s">
        <v>19</v>
      </c>
      <c r="E52" s="13" t="s">
        <v>62</v>
      </c>
      <c r="F52" s="31" t="str">
        <f>_xlfn.XLOOKUP(D52,EmployeeMaster!A:A,EmployeeMaster!C:C,0)</f>
        <v>Sales</v>
      </c>
      <c r="G52" s="33" t="s">
        <v>57</v>
      </c>
      <c r="H52" s="12">
        <v>44</v>
      </c>
      <c r="I52" s="12">
        <v>44088</v>
      </c>
      <c r="J52" s="12">
        <v>42692</v>
      </c>
      <c r="K52" s="35" t="s">
        <v>22</v>
      </c>
      <c r="L52" s="37">
        <f>_xlfn.XLOOKUP(K52,RegionBenchmarks!A:A,RegionBenchmarks!B:B,"Not Found")</f>
        <v>50000</v>
      </c>
      <c r="M52" s="39">
        <f t="shared" si="4"/>
        <v>2204.4</v>
      </c>
      <c r="N52" s="42" t="str">
        <f t="shared" si="1"/>
        <v>Ture</v>
      </c>
      <c r="O52" s="43" t="str">
        <f t="shared" si="2"/>
        <v>January</v>
      </c>
    </row>
    <row r="53" spans="1:15" ht="18" customHeight="1" x14ac:dyDescent="0.35">
      <c r="A53" s="11">
        <v>715404</v>
      </c>
      <c r="B53" s="15">
        <v>45289</v>
      </c>
      <c r="C53" s="30" t="str">
        <f>_xlfn.XLOOKUP(D53,EmployeeMaster!A:A,EmployeeMaster!B:B,0)</f>
        <v>Joe Lyn</v>
      </c>
      <c r="D53" s="12" t="s">
        <v>31</v>
      </c>
      <c r="E53" s="13" t="s">
        <v>63</v>
      </c>
      <c r="F53" s="31" t="str">
        <f>_xlfn.XLOOKUP(D53,EmployeeMaster!A:A,EmployeeMaster!C:C,0)</f>
        <v>Sales</v>
      </c>
      <c r="G53" s="33" t="s">
        <v>56</v>
      </c>
      <c r="H53" s="12">
        <v>47</v>
      </c>
      <c r="I53" s="12">
        <v>80511</v>
      </c>
      <c r="J53" s="12">
        <v>73543</v>
      </c>
      <c r="K53" s="35" t="s">
        <v>34</v>
      </c>
      <c r="L53" s="37">
        <f>_xlfn.XLOOKUP(K53,RegionBenchmarks!A:A,RegionBenchmarks!B:B,"Not Found")</f>
        <v>45000</v>
      </c>
      <c r="M53" s="39">
        <f t="shared" si="4"/>
        <v>4025.55</v>
      </c>
      <c r="N53" s="42" t="str">
        <f t="shared" si="1"/>
        <v>Ture</v>
      </c>
      <c r="O53" s="43" t="str">
        <f t="shared" si="2"/>
        <v>December</v>
      </c>
    </row>
    <row r="54" spans="1:15" ht="18" customHeight="1" x14ac:dyDescent="0.35">
      <c r="A54" s="11">
        <v>321701</v>
      </c>
      <c r="B54" s="15">
        <v>44991</v>
      </c>
      <c r="C54" s="30" t="str">
        <f>_xlfn.XLOOKUP(D54,EmployeeMaster!A:A,EmployeeMaster!B:B,0)</f>
        <v>John Taylor</v>
      </c>
      <c r="D54" s="12" t="s">
        <v>43</v>
      </c>
      <c r="E54" s="13" t="s">
        <v>63</v>
      </c>
      <c r="F54" s="31" t="str">
        <f>_xlfn.XLOOKUP(D54,EmployeeMaster!A:A,EmployeeMaster!C:C,0)</f>
        <v>Sales</v>
      </c>
      <c r="G54" s="33" t="s">
        <v>55</v>
      </c>
      <c r="H54" s="12">
        <v>29</v>
      </c>
      <c r="I54" s="12">
        <v>34626</v>
      </c>
      <c r="J54" s="12">
        <v>34765</v>
      </c>
      <c r="K54" s="35" t="s">
        <v>22</v>
      </c>
      <c r="L54" s="37">
        <f>_xlfn.XLOOKUP(K54,RegionBenchmarks!A:A,RegionBenchmarks!B:B,"Not Found")</f>
        <v>50000</v>
      </c>
      <c r="M54" s="39">
        <f t="shared" si="4"/>
        <v>0</v>
      </c>
      <c r="N54" s="42" t="str">
        <f t="shared" si="1"/>
        <v>No</v>
      </c>
      <c r="O54" s="43" t="str">
        <f t="shared" si="2"/>
        <v>March</v>
      </c>
    </row>
    <row r="55" spans="1:15" ht="18" customHeight="1" x14ac:dyDescent="0.35">
      <c r="A55" s="11">
        <v>638856</v>
      </c>
      <c r="B55" s="15">
        <v>44959</v>
      </c>
      <c r="C55" s="30" t="str">
        <f>_xlfn.XLOOKUP(D55,EmployeeMaster!A:A,EmployeeMaster!B:B,0)</f>
        <v>Lynda Smith</v>
      </c>
      <c r="D55" s="12" t="s">
        <v>6</v>
      </c>
      <c r="E55" s="13" t="s">
        <v>63</v>
      </c>
      <c r="F55" s="31" t="str">
        <f>_xlfn.XLOOKUP(D55,EmployeeMaster!A:A,EmployeeMaster!C:C,0)</f>
        <v>Sales</v>
      </c>
      <c r="G55" s="33" t="s">
        <v>57</v>
      </c>
      <c r="H55" s="12">
        <v>40</v>
      </c>
      <c r="I55" s="12">
        <v>42320</v>
      </c>
      <c r="J55" s="12">
        <v>46499</v>
      </c>
      <c r="K55" s="35" t="s">
        <v>10</v>
      </c>
      <c r="L55" s="37">
        <f>_xlfn.XLOOKUP(K55,RegionBenchmarks!A:A,RegionBenchmarks!B:B,"Not Found")</f>
        <v>68500</v>
      </c>
      <c r="M55" s="39">
        <f t="shared" si="4"/>
        <v>0</v>
      </c>
      <c r="N55" s="42" t="str">
        <f t="shared" si="1"/>
        <v>No</v>
      </c>
      <c r="O55" s="43" t="str">
        <f t="shared" si="2"/>
        <v>February</v>
      </c>
    </row>
    <row r="56" spans="1:15" ht="18" customHeight="1" x14ac:dyDescent="0.35">
      <c r="A56" s="11">
        <v>443925</v>
      </c>
      <c r="B56" s="15">
        <v>45217</v>
      </c>
      <c r="C56" s="30" t="str">
        <f>_xlfn.XLOOKUP(D56,EmployeeMaster!A:A,EmployeeMaster!B:B,0)</f>
        <v>Ronn Robinson</v>
      </c>
      <c r="D56" s="12" t="s">
        <v>19</v>
      </c>
      <c r="E56" s="13" t="s">
        <v>63</v>
      </c>
      <c r="F56" s="31" t="str">
        <f>_xlfn.XLOOKUP(D56,EmployeeMaster!A:A,EmployeeMaster!C:C,0)</f>
        <v>Sales</v>
      </c>
      <c r="G56" s="33" t="s">
        <v>55</v>
      </c>
      <c r="H56" s="12">
        <v>23</v>
      </c>
      <c r="I56" s="12">
        <v>45609</v>
      </c>
      <c r="J56" s="12">
        <v>42289</v>
      </c>
      <c r="K56" s="35" t="s">
        <v>22</v>
      </c>
      <c r="L56" s="37">
        <f>_xlfn.XLOOKUP(K56,RegionBenchmarks!A:A,RegionBenchmarks!B:B,"Not Found")</f>
        <v>50000</v>
      </c>
      <c r="M56" s="39">
        <f t="shared" si="4"/>
        <v>2280.4500000000003</v>
      </c>
      <c r="N56" s="42" t="str">
        <f t="shared" si="1"/>
        <v>Ture</v>
      </c>
      <c r="O56" s="43" t="str">
        <f t="shared" si="2"/>
        <v>October</v>
      </c>
    </row>
    <row r="57" spans="1:15" ht="18" customHeight="1" x14ac:dyDescent="0.35">
      <c r="A57" s="11">
        <v>122220</v>
      </c>
      <c r="B57" s="15">
        <v>44933</v>
      </c>
      <c r="C57" s="30" t="str">
        <f>_xlfn.XLOOKUP(D57,EmployeeMaster!A:A,EmployeeMaster!B:B,0)</f>
        <v>Raj Mehta</v>
      </c>
      <c r="D57" s="12" t="s">
        <v>13</v>
      </c>
      <c r="E57" s="13" t="s">
        <v>63</v>
      </c>
      <c r="F57" s="31" t="str">
        <f>_xlfn.XLOOKUP(D57,EmployeeMaster!A:A,EmployeeMaster!C:C,0)</f>
        <v>Marketing</v>
      </c>
      <c r="G57" s="33" t="s">
        <v>57</v>
      </c>
      <c r="H57" s="12">
        <v>58</v>
      </c>
      <c r="I57" s="12">
        <v>62002</v>
      </c>
      <c r="J57" s="12">
        <v>55940</v>
      </c>
      <c r="K57" s="35" t="s">
        <v>17</v>
      </c>
      <c r="L57" s="37">
        <f>_xlfn.XLOOKUP(K57,RegionBenchmarks!A:A,RegionBenchmarks!B:B,"Not Found")</f>
        <v>60000</v>
      </c>
      <c r="M57" s="39">
        <f t="shared" si="4"/>
        <v>3100.1000000000004</v>
      </c>
      <c r="N57" s="42" t="str">
        <f t="shared" si="1"/>
        <v>Ture</v>
      </c>
      <c r="O57" s="43" t="str">
        <f t="shared" si="2"/>
        <v>January</v>
      </c>
    </row>
    <row r="58" spans="1:15" ht="18" customHeight="1" x14ac:dyDescent="0.35">
      <c r="A58" s="11">
        <v>701178</v>
      </c>
      <c r="B58" s="15">
        <v>45054</v>
      </c>
      <c r="C58" s="30" t="str">
        <f>_xlfn.XLOOKUP(D58,EmployeeMaster!A:A,EmployeeMaster!B:B,0)</f>
        <v>Raj Mehta</v>
      </c>
      <c r="D58" s="12" t="s">
        <v>13</v>
      </c>
      <c r="E58" s="13" t="s">
        <v>63</v>
      </c>
      <c r="F58" s="31" t="str">
        <f>_xlfn.XLOOKUP(D58,EmployeeMaster!A:A,EmployeeMaster!C:C,0)</f>
        <v>Marketing</v>
      </c>
      <c r="G58" s="33" t="s">
        <v>55</v>
      </c>
      <c r="H58" s="12">
        <v>56</v>
      </c>
      <c r="I58" s="12">
        <v>70112</v>
      </c>
      <c r="J58" s="12">
        <v>65627</v>
      </c>
      <c r="K58" s="35" t="s">
        <v>17</v>
      </c>
      <c r="L58" s="37">
        <f>_xlfn.XLOOKUP(K58,RegionBenchmarks!A:A,RegionBenchmarks!B:B,"Not Found")</f>
        <v>60000</v>
      </c>
      <c r="M58" s="39">
        <f t="shared" si="4"/>
        <v>3505.6000000000004</v>
      </c>
      <c r="N58" s="42" t="str">
        <f t="shared" si="1"/>
        <v>Ture</v>
      </c>
      <c r="O58" s="43" t="str">
        <f t="shared" si="2"/>
        <v>May</v>
      </c>
    </row>
    <row r="59" spans="1:15" ht="18" customHeight="1" x14ac:dyDescent="0.35">
      <c r="A59" s="11">
        <v>626979</v>
      </c>
      <c r="B59" s="15">
        <v>45018</v>
      </c>
      <c r="C59" s="30" t="str">
        <f>_xlfn.XLOOKUP(D59,EmployeeMaster!A:A,EmployeeMaster!B:B,0)</f>
        <v>Raj Mehta</v>
      </c>
      <c r="D59" s="12" t="s">
        <v>13</v>
      </c>
      <c r="E59" s="13" t="s">
        <v>63</v>
      </c>
      <c r="F59" s="31" t="str">
        <f>_xlfn.XLOOKUP(D59,EmployeeMaster!A:A,EmployeeMaster!C:C,0)</f>
        <v>Marketing</v>
      </c>
      <c r="G59" s="33" t="s">
        <v>56</v>
      </c>
      <c r="H59" s="12">
        <v>46</v>
      </c>
      <c r="I59" s="12">
        <v>76958</v>
      </c>
      <c r="J59" s="12">
        <v>72396</v>
      </c>
      <c r="K59" s="35" t="s">
        <v>17</v>
      </c>
      <c r="L59" s="37">
        <f>_xlfn.XLOOKUP(K59,RegionBenchmarks!A:A,RegionBenchmarks!B:B,"Not Found")</f>
        <v>60000</v>
      </c>
      <c r="M59" s="39">
        <f t="shared" si="4"/>
        <v>3847.9</v>
      </c>
      <c r="N59" s="42" t="str">
        <f t="shared" si="1"/>
        <v>Ture</v>
      </c>
      <c r="O59" s="43" t="str">
        <f t="shared" si="2"/>
        <v>April</v>
      </c>
    </row>
    <row r="60" spans="1:15" ht="18" customHeight="1" x14ac:dyDescent="0.35">
      <c r="A60" s="11">
        <v>879135</v>
      </c>
      <c r="B60" s="15">
        <v>45210</v>
      </c>
      <c r="C60" s="30" t="str">
        <f>_xlfn.XLOOKUP(D60,EmployeeMaster!A:A,EmployeeMaster!B:B,0)</f>
        <v>Fatima Zhang</v>
      </c>
      <c r="D60" s="12" t="s">
        <v>36</v>
      </c>
      <c r="E60" s="13" t="s">
        <v>63</v>
      </c>
      <c r="F60" s="31" t="str">
        <f>_xlfn.XLOOKUP(D60,EmployeeMaster!A:A,EmployeeMaster!C:C,0)</f>
        <v>Sales</v>
      </c>
      <c r="G60" s="33" t="s">
        <v>57</v>
      </c>
      <c r="H60" s="12">
        <v>36</v>
      </c>
      <c r="I60" s="12">
        <v>43524</v>
      </c>
      <c r="J60" s="12">
        <v>37552</v>
      </c>
      <c r="K60" s="35" t="s">
        <v>17</v>
      </c>
      <c r="L60" s="37">
        <f>_xlfn.XLOOKUP(K60,RegionBenchmarks!A:A,RegionBenchmarks!B:B,"Not Found")</f>
        <v>60000</v>
      </c>
      <c r="M60" s="39">
        <f t="shared" si="4"/>
        <v>2176.2000000000003</v>
      </c>
      <c r="N60" s="42" t="str">
        <f t="shared" si="1"/>
        <v>Ture</v>
      </c>
      <c r="O60" s="43" t="str">
        <f t="shared" si="2"/>
        <v>October</v>
      </c>
    </row>
    <row r="61" spans="1:15" ht="18" customHeight="1" x14ac:dyDescent="0.35">
      <c r="A61" s="11">
        <v>853549</v>
      </c>
      <c r="B61" s="15">
        <v>45179</v>
      </c>
      <c r="C61" s="30" t="str">
        <f>_xlfn.XLOOKUP(D61,EmployeeMaster!A:A,EmployeeMaster!B:B,0)</f>
        <v>Christi Davis</v>
      </c>
      <c r="D61" s="12" t="s">
        <v>25</v>
      </c>
      <c r="E61" s="13" t="s">
        <v>63</v>
      </c>
      <c r="F61" s="31" t="str">
        <f>_xlfn.XLOOKUP(D61,EmployeeMaster!A:A,EmployeeMaster!C:C,0)</f>
        <v>Operations</v>
      </c>
      <c r="G61" s="33" t="s">
        <v>56</v>
      </c>
      <c r="H61" s="12">
        <v>36</v>
      </c>
      <c r="I61" s="12">
        <v>50580</v>
      </c>
      <c r="J61" s="12">
        <v>53436</v>
      </c>
      <c r="K61" s="35" t="s">
        <v>29</v>
      </c>
      <c r="L61" s="37">
        <f>_xlfn.XLOOKUP(K61,RegionBenchmarks!A:A,RegionBenchmarks!B:B,"Not Found")</f>
        <v>55000</v>
      </c>
      <c r="M61" s="39">
        <f t="shared" si="4"/>
        <v>0</v>
      </c>
      <c r="N61" s="42" t="str">
        <f t="shared" si="1"/>
        <v>No</v>
      </c>
      <c r="O61" s="43" t="str">
        <f t="shared" si="2"/>
        <v>September</v>
      </c>
    </row>
    <row r="62" spans="1:15" ht="18" customHeight="1" x14ac:dyDescent="0.35">
      <c r="A62" s="11">
        <v>622476</v>
      </c>
      <c r="B62" s="15">
        <v>45252</v>
      </c>
      <c r="C62" s="30" t="str">
        <f>_xlfn.XLOOKUP(D62,EmployeeMaster!A:A,EmployeeMaster!B:B,0)</f>
        <v>Joe Lyn</v>
      </c>
      <c r="D62" s="12" t="s">
        <v>31</v>
      </c>
      <c r="E62" s="13" t="s">
        <v>63</v>
      </c>
      <c r="F62" s="31" t="str">
        <f>_xlfn.XLOOKUP(D62,EmployeeMaster!A:A,EmployeeMaster!C:C,0)</f>
        <v>Sales</v>
      </c>
      <c r="G62" s="33" t="s">
        <v>55</v>
      </c>
      <c r="H62" s="12">
        <v>49</v>
      </c>
      <c r="I62" s="12">
        <v>64827</v>
      </c>
      <c r="J62" s="12">
        <v>57509</v>
      </c>
      <c r="K62" s="35" t="s">
        <v>34</v>
      </c>
      <c r="L62" s="37">
        <f>_xlfn.XLOOKUP(K62,RegionBenchmarks!A:A,RegionBenchmarks!B:B,"Not Found")</f>
        <v>45000</v>
      </c>
      <c r="M62" s="39">
        <f t="shared" si="4"/>
        <v>3241.3500000000004</v>
      </c>
      <c r="N62" s="42" t="str">
        <f t="shared" si="1"/>
        <v>Ture</v>
      </c>
      <c r="O62" s="43" t="str">
        <f t="shared" si="2"/>
        <v>November</v>
      </c>
    </row>
    <row r="63" spans="1:15" ht="18" customHeight="1" x14ac:dyDescent="0.35">
      <c r="A63" s="11">
        <v>558080</v>
      </c>
      <c r="B63" s="15">
        <v>45048</v>
      </c>
      <c r="C63" s="30" t="str">
        <f>_xlfn.XLOOKUP(D63,EmployeeMaster!A:A,EmployeeMaster!B:B,0)</f>
        <v>John Taylor</v>
      </c>
      <c r="D63" s="12" t="s">
        <v>43</v>
      </c>
      <c r="E63" s="13" t="s">
        <v>63</v>
      </c>
      <c r="F63" s="31" t="str">
        <f>_xlfn.XLOOKUP(D63,EmployeeMaster!A:A,EmployeeMaster!C:C,0)</f>
        <v>Sales</v>
      </c>
      <c r="G63" s="33" t="s">
        <v>56</v>
      </c>
      <c r="H63" s="12">
        <v>59</v>
      </c>
      <c r="I63" s="12">
        <v>92984</v>
      </c>
      <c r="J63" s="12">
        <v>96346</v>
      </c>
      <c r="K63" s="35" t="s">
        <v>22</v>
      </c>
      <c r="L63" s="37">
        <f>_xlfn.XLOOKUP(K63,RegionBenchmarks!A:A,RegionBenchmarks!B:B,"Not Found")</f>
        <v>50000</v>
      </c>
      <c r="M63" s="39">
        <f t="shared" si="4"/>
        <v>0</v>
      </c>
      <c r="N63" s="42" t="str">
        <f t="shared" si="1"/>
        <v>No</v>
      </c>
      <c r="O63" s="43" t="str">
        <f t="shared" si="2"/>
        <v>May</v>
      </c>
    </row>
    <row r="64" spans="1:15" ht="18" customHeight="1" x14ac:dyDescent="0.35">
      <c r="A64" s="11">
        <v>705811</v>
      </c>
      <c r="B64" s="15">
        <v>45285</v>
      </c>
      <c r="C64" s="30" t="str">
        <f>_xlfn.XLOOKUP(D64,EmployeeMaster!A:A,EmployeeMaster!B:B,0)</f>
        <v>Christi Davis</v>
      </c>
      <c r="D64" s="12" t="s">
        <v>25</v>
      </c>
      <c r="E64" s="13" t="s">
        <v>63</v>
      </c>
      <c r="F64" s="31" t="str">
        <f>_xlfn.XLOOKUP(D64,EmployeeMaster!A:A,EmployeeMaster!C:C,0)</f>
        <v>Operations</v>
      </c>
      <c r="G64" s="33" t="s">
        <v>55</v>
      </c>
      <c r="H64" s="12">
        <v>52</v>
      </c>
      <c r="I64" s="12">
        <v>66092</v>
      </c>
      <c r="J64" s="12">
        <v>68922</v>
      </c>
      <c r="K64" s="35" t="s">
        <v>29</v>
      </c>
      <c r="L64" s="37">
        <f>_xlfn.XLOOKUP(K64,RegionBenchmarks!A:A,RegionBenchmarks!B:B,"Not Found")</f>
        <v>55000</v>
      </c>
      <c r="M64" s="39">
        <f t="shared" si="4"/>
        <v>0</v>
      </c>
      <c r="N64" s="42" t="str">
        <f t="shared" si="1"/>
        <v>No</v>
      </c>
      <c r="O64" s="43" t="str">
        <f t="shared" si="2"/>
        <v>December</v>
      </c>
    </row>
    <row r="65" spans="1:15" ht="18" customHeight="1" x14ac:dyDescent="0.35">
      <c r="A65" s="11">
        <v>614942</v>
      </c>
      <c r="B65" s="15">
        <v>45217</v>
      </c>
      <c r="C65" s="30" t="str">
        <f>_xlfn.XLOOKUP(D65,EmployeeMaster!A:A,EmployeeMaster!B:B,0)</f>
        <v>Christi Davis</v>
      </c>
      <c r="D65" s="12" t="s">
        <v>25</v>
      </c>
      <c r="E65" s="13" t="s">
        <v>64</v>
      </c>
      <c r="F65" s="31" t="str">
        <f>_xlfn.XLOOKUP(D65,EmployeeMaster!A:A,EmployeeMaster!C:C,0)</f>
        <v>Operations</v>
      </c>
      <c r="G65" s="33" t="s">
        <v>56</v>
      </c>
      <c r="H65" s="12">
        <v>43</v>
      </c>
      <c r="I65" s="12">
        <v>55513</v>
      </c>
      <c r="J65" s="12">
        <v>57929</v>
      </c>
      <c r="K65" s="35" t="s">
        <v>29</v>
      </c>
      <c r="L65" s="37">
        <f>_xlfn.XLOOKUP(K65,RegionBenchmarks!A:A,RegionBenchmarks!B:B,"Not Found")</f>
        <v>55000</v>
      </c>
      <c r="M65" s="39">
        <f t="shared" si="4"/>
        <v>0</v>
      </c>
      <c r="N65" s="42" t="str">
        <f t="shared" si="1"/>
        <v>No</v>
      </c>
      <c r="O65" s="43" t="str">
        <f t="shared" si="2"/>
        <v>October</v>
      </c>
    </row>
    <row r="66" spans="1:15" ht="18" customHeight="1" x14ac:dyDescent="0.35">
      <c r="A66" s="11">
        <v>411338</v>
      </c>
      <c r="B66" s="15">
        <v>45066</v>
      </c>
      <c r="C66" s="30" t="str">
        <f>_xlfn.XLOOKUP(D66,EmployeeMaster!A:A,EmployeeMaster!B:B,0)</f>
        <v>Joe Lyn</v>
      </c>
      <c r="D66" s="12" t="s">
        <v>31</v>
      </c>
      <c r="E66" s="13" t="s">
        <v>64</v>
      </c>
      <c r="F66" s="31" t="str">
        <f>_xlfn.XLOOKUP(D66,EmployeeMaster!A:A,EmployeeMaster!C:C,0)</f>
        <v>Sales</v>
      </c>
      <c r="G66" s="33" t="s">
        <v>55</v>
      </c>
      <c r="H66" s="12">
        <v>59</v>
      </c>
      <c r="I66" s="12">
        <v>107734</v>
      </c>
      <c r="J66" s="12">
        <v>102020</v>
      </c>
      <c r="K66" s="35" t="s">
        <v>34</v>
      </c>
      <c r="L66" s="37">
        <f>_xlfn.XLOOKUP(K66,RegionBenchmarks!A:A,RegionBenchmarks!B:B,"Not Found")</f>
        <v>45000</v>
      </c>
      <c r="M66" s="39">
        <f t="shared" si="4"/>
        <v>5386.7000000000007</v>
      </c>
      <c r="N66" s="42" t="str">
        <f t="shared" si="1"/>
        <v>Ture</v>
      </c>
      <c r="O66" s="43" t="str">
        <f t="shared" si="2"/>
        <v>May</v>
      </c>
    </row>
    <row r="67" spans="1:15" ht="18" customHeight="1" x14ac:dyDescent="0.35">
      <c r="A67" s="11">
        <v>773919</v>
      </c>
      <c r="B67" s="15">
        <v>45135</v>
      </c>
      <c r="C67" s="30" t="str">
        <f>_xlfn.XLOOKUP(D67,EmployeeMaster!A:A,EmployeeMaster!B:B,0)</f>
        <v>Joe Lyn</v>
      </c>
      <c r="D67" s="12" t="s">
        <v>31</v>
      </c>
      <c r="E67" s="13" t="s">
        <v>64</v>
      </c>
      <c r="F67" s="31" t="str">
        <f>_xlfn.XLOOKUP(D67,EmployeeMaster!A:A,EmployeeMaster!C:C,0)</f>
        <v>Sales</v>
      </c>
      <c r="G67" s="33" t="s">
        <v>57</v>
      </c>
      <c r="H67" s="12">
        <v>26</v>
      </c>
      <c r="I67" s="12">
        <v>50986</v>
      </c>
      <c r="J67" s="12">
        <v>41599</v>
      </c>
      <c r="K67" s="35" t="s">
        <v>34</v>
      </c>
      <c r="L67" s="37">
        <f>_xlfn.XLOOKUP(K67,RegionBenchmarks!A:A,RegionBenchmarks!B:B,"Not Found")</f>
        <v>45000</v>
      </c>
      <c r="M67" s="39">
        <f t="shared" si="4"/>
        <v>2549.3000000000002</v>
      </c>
      <c r="N67" s="42" t="str">
        <f t="shared" ref="N67:N101" si="5">IF(I67&gt;=J67,"Ture","No")</f>
        <v>Ture</v>
      </c>
      <c r="O67" s="43" t="str">
        <f t="shared" ref="O67:O101" si="6">TEXT(B67,"mmmm")</f>
        <v>July</v>
      </c>
    </row>
    <row r="68" spans="1:15" ht="18" customHeight="1" x14ac:dyDescent="0.35">
      <c r="A68" s="11">
        <v>972584</v>
      </c>
      <c r="B68" s="15">
        <v>45278</v>
      </c>
      <c r="C68" s="30" t="str">
        <f>_xlfn.XLOOKUP(D68,EmployeeMaster!A:A,EmployeeMaster!B:B,0)</f>
        <v>Raj Mehta</v>
      </c>
      <c r="D68" s="12" t="s">
        <v>13</v>
      </c>
      <c r="E68" s="13" t="s">
        <v>64</v>
      </c>
      <c r="F68" s="31" t="str">
        <f>_xlfn.XLOOKUP(D68,EmployeeMaster!A:A,EmployeeMaster!C:C,0)</f>
        <v>Marketing</v>
      </c>
      <c r="G68" s="33" t="s">
        <v>57</v>
      </c>
      <c r="H68" s="12">
        <v>26</v>
      </c>
      <c r="I68" s="12">
        <v>45760</v>
      </c>
      <c r="J68" s="12">
        <v>41696</v>
      </c>
      <c r="K68" s="35" t="s">
        <v>17</v>
      </c>
      <c r="L68" s="37">
        <f>_xlfn.XLOOKUP(K68,RegionBenchmarks!A:A,RegionBenchmarks!B:B,"Not Found")</f>
        <v>60000</v>
      </c>
      <c r="M68" s="39">
        <f t="shared" si="4"/>
        <v>2288</v>
      </c>
      <c r="N68" s="42" t="str">
        <f t="shared" si="5"/>
        <v>Ture</v>
      </c>
      <c r="O68" s="43" t="str">
        <f t="shared" si="6"/>
        <v>December</v>
      </c>
    </row>
    <row r="69" spans="1:15" ht="18" customHeight="1" x14ac:dyDescent="0.35">
      <c r="A69" s="11">
        <v>375513</v>
      </c>
      <c r="B69" s="15">
        <v>45109</v>
      </c>
      <c r="C69" s="30" t="str">
        <f>_xlfn.XLOOKUP(D69,EmployeeMaster!A:A,EmployeeMaster!B:B,0)</f>
        <v>Joe Lyn</v>
      </c>
      <c r="D69" s="12" t="s">
        <v>31</v>
      </c>
      <c r="E69" s="13" t="s">
        <v>64</v>
      </c>
      <c r="F69" s="31" t="str">
        <f>_xlfn.XLOOKUP(D69,EmployeeMaster!A:A,EmployeeMaster!C:C,0)</f>
        <v>Sales</v>
      </c>
      <c r="G69" s="33" t="s">
        <v>55</v>
      </c>
      <c r="H69" s="12">
        <v>58</v>
      </c>
      <c r="I69" s="12">
        <v>70470</v>
      </c>
      <c r="J69" s="12">
        <v>63713</v>
      </c>
      <c r="K69" s="35" t="s">
        <v>34</v>
      </c>
      <c r="L69" s="37">
        <f>_xlfn.XLOOKUP(K69,RegionBenchmarks!A:A,RegionBenchmarks!B:B,"Not Found")</f>
        <v>45000</v>
      </c>
      <c r="M69" s="39">
        <f t="shared" si="4"/>
        <v>3523.5</v>
      </c>
      <c r="N69" s="42" t="str">
        <f t="shared" si="5"/>
        <v>Ture</v>
      </c>
      <c r="O69" s="43" t="str">
        <f t="shared" si="6"/>
        <v>July</v>
      </c>
    </row>
    <row r="70" spans="1:15" ht="18" customHeight="1" x14ac:dyDescent="0.35">
      <c r="A70" s="11">
        <v>171074</v>
      </c>
      <c r="B70" s="15">
        <v>45208</v>
      </c>
      <c r="C70" s="30" t="str">
        <f>_xlfn.XLOOKUP(D70,EmployeeMaster!A:A,EmployeeMaster!B:B,0)</f>
        <v>Joe Lyn</v>
      </c>
      <c r="D70" s="12" t="s">
        <v>31</v>
      </c>
      <c r="E70" s="13" t="s">
        <v>64</v>
      </c>
      <c r="F70" s="31" t="str">
        <f>_xlfn.XLOOKUP(D70,EmployeeMaster!A:A,EmployeeMaster!C:C,0)</f>
        <v>Sales</v>
      </c>
      <c r="G70" s="33" t="s">
        <v>55</v>
      </c>
      <c r="H70" s="12">
        <v>52</v>
      </c>
      <c r="I70" s="12">
        <v>78000</v>
      </c>
      <c r="J70" s="12">
        <v>78886</v>
      </c>
      <c r="K70" s="35" t="s">
        <v>34</v>
      </c>
      <c r="L70" s="37">
        <f>_xlfn.XLOOKUP(K70,RegionBenchmarks!A:A,RegionBenchmarks!B:B,"Not Found")</f>
        <v>45000</v>
      </c>
      <c r="M70" s="39">
        <f t="shared" si="4"/>
        <v>0</v>
      </c>
      <c r="N70" s="42" t="str">
        <f t="shared" si="5"/>
        <v>No</v>
      </c>
      <c r="O70" s="43" t="str">
        <f t="shared" si="6"/>
        <v>October</v>
      </c>
    </row>
    <row r="71" spans="1:15" ht="18" customHeight="1" x14ac:dyDescent="0.35">
      <c r="A71" s="11">
        <v>658474</v>
      </c>
      <c r="B71" s="15">
        <v>45278</v>
      </c>
      <c r="C71" s="30" t="str">
        <f>_xlfn.XLOOKUP(D71,EmployeeMaster!A:A,EmployeeMaster!B:B,0)</f>
        <v>Martina Brands</v>
      </c>
      <c r="D71" s="12" t="s">
        <v>39</v>
      </c>
      <c r="E71" s="13" t="s">
        <v>64</v>
      </c>
      <c r="F71" s="31" t="str">
        <f>_xlfn.XLOOKUP(D71,EmployeeMaster!A:A,EmployeeMaster!C:C,0)</f>
        <v>Marketing</v>
      </c>
      <c r="G71" s="33" t="s">
        <v>55</v>
      </c>
      <c r="H71" s="12">
        <v>37</v>
      </c>
      <c r="I71" s="12">
        <v>38665</v>
      </c>
      <c r="J71" s="12">
        <v>43607</v>
      </c>
      <c r="K71" s="35" t="s">
        <v>10</v>
      </c>
      <c r="L71" s="37">
        <f>_xlfn.XLOOKUP(K71,RegionBenchmarks!A:A,RegionBenchmarks!B:B,"Not Found")</f>
        <v>68500</v>
      </c>
      <c r="M71" s="39">
        <f t="shared" si="4"/>
        <v>0</v>
      </c>
      <c r="N71" s="42" t="str">
        <f t="shared" si="5"/>
        <v>No</v>
      </c>
      <c r="O71" s="43" t="str">
        <f t="shared" si="6"/>
        <v>December</v>
      </c>
    </row>
    <row r="72" spans="1:15" ht="18" customHeight="1" x14ac:dyDescent="0.35">
      <c r="A72" s="11">
        <v>136884</v>
      </c>
      <c r="B72" s="15">
        <v>44992</v>
      </c>
      <c r="C72" s="30" t="str">
        <f>_xlfn.XLOOKUP(D72,EmployeeMaster!A:A,EmployeeMaster!B:B,0)</f>
        <v>Joe Lyn</v>
      </c>
      <c r="D72" s="12" t="s">
        <v>31</v>
      </c>
      <c r="E72" s="13" t="s">
        <v>64</v>
      </c>
      <c r="F72" s="31" t="str">
        <f>_xlfn.XLOOKUP(D72,EmployeeMaster!A:A,EmployeeMaster!C:C,0)</f>
        <v>Sales</v>
      </c>
      <c r="G72" s="33" t="s">
        <v>56</v>
      </c>
      <c r="H72" s="12">
        <v>30</v>
      </c>
      <c r="I72" s="12">
        <v>52770</v>
      </c>
      <c r="J72" s="12">
        <v>50531</v>
      </c>
      <c r="K72" s="35" t="s">
        <v>34</v>
      </c>
      <c r="L72" s="37">
        <f>_xlfn.XLOOKUP(K72,RegionBenchmarks!A:A,RegionBenchmarks!B:B,"Not Found")</f>
        <v>45000</v>
      </c>
      <c r="M72" s="39">
        <f t="shared" si="4"/>
        <v>2638.5</v>
      </c>
      <c r="N72" s="42" t="str">
        <f t="shared" si="5"/>
        <v>Ture</v>
      </c>
      <c r="O72" s="43" t="str">
        <f t="shared" si="6"/>
        <v>March</v>
      </c>
    </row>
    <row r="73" spans="1:15" ht="18" customHeight="1" x14ac:dyDescent="0.35">
      <c r="A73" s="11">
        <v>347309</v>
      </c>
      <c r="B73" s="15">
        <v>45129</v>
      </c>
      <c r="C73" s="30" t="str">
        <f>_xlfn.XLOOKUP(D73,EmployeeMaster!A:A,EmployeeMaster!B:B,0)</f>
        <v>Martina Brands</v>
      </c>
      <c r="D73" s="12" t="s">
        <v>39</v>
      </c>
      <c r="E73" s="13" t="s">
        <v>64</v>
      </c>
      <c r="F73" s="31" t="str">
        <f>_xlfn.XLOOKUP(D73,EmployeeMaster!A:A,EmployeeMaster!C:C,0)</f>
        <v>Marketing</v>
      </c>
      <c r="G73" s="33" t="s">
        <v>56</v>
      </c>
      <c r="H73" s="12">
        <v>55</v>
      </c>
      <c r="I73" s="12">
        <v>55495</v>
      </c>
      <c r="J73" s="12">
        <v>58663</v>
      </c>
      <c r="K73" s="35" t="s">
        <v>10</v>
      </c>
      <c r="L73" s="37">
        <f>_xlfn.XLOOKUP(K73,RegionBenchmarks!A:A,RegionBenchmarks!B:B,"Not Found")</f>
        <v>68500</v>
      </c>
      <c r="M73" s="39">
        <f t="shared" si="4"/>
        <v>0</v>
      </c>
      <c r="N73" s="42" t="str">
        <f t="shared" si="5"/>
        <v>No</v>
      </c>
      <c r="O73" s="43" t="str">
        <f t="shared" si="6"/>
        <v>July</v>
      </c>
    </row>
    <row r="74" spans="1:15" ht="18" customHeight="1" x14ac:dyDescent="0.35">
      <c r="A74" s="11">
        <v>861040</v>
      </c>
      <c r="B74" s="15">
        <v>44944</v>
      </c>
      <c r="C74" s="30" t="str">
        <f>_xlfn.XLOOKUP(D74,EmployeeMaster!A:A,EmployeeMaster!B:B,0)</f>
        <v>Ronn Robinson</v>
      </c>
      <c r="D74" s="12" t="s">
        <v>19</v>
      </c>
      <c r="E74" s="13" t="s">
        <v>64</v>
      </c>
      <c r="F74" s="31" t="str">
        <f>_xlfn.XLOOKUP(D74,EmployeeMaster!A:A,EmployeeMaster!C:C,0)</f>
        <v>Sales</v>
      </c>
      <c r="G74" s="33" t="s">
        <v>56</v>
      </c>
      <c r="H74" s="12">
        <v>54</v>
      </c>
      <c r="I74" s="12">
        <v>55944</v>
      </c>
      <c r="J74" s="12">
        <v>47270</v>
      </c>
      <c r="K74" s="35" t="s">
        <v>22</v>
      </c>
      <c r="L74" s="37">
        <f>_xlfn.XLOOKUP(K74,RegionBenchmarks!A:A,RegionBenchmarks!B:B,"Not Found")</f>
        <v>50000</v>
      </c>
      <c r="M74" s="39">
        <f t="shared" si="4"/>
        <v>2797.2000000000003</v>
      </c>
      <c r="N74" s="42" t="str">
        <f t="shared" si="5"/>
        <v>Ture</v>
      </c>
      <c r="O74" s="43" t="str">
        <f t="shared" si="6"/>
        <v>January</v>
      </c>
    </row>
    <row r="75" spans="1:15" ht="18" customHeight="1" x14ac:dyDescent="0.35">
      <c r="A75" s="11">
        <v>757259</v>
      </c>
      <c r="B75" s="15">
        <v>45070</v>
      </c>
      <c r="C75" s="30" t="str">
        <f>_xlfn.XLOOKUP(D75,EmployeeMaster!A:A,EmployeeMaster!B:B,0)</f>
        <v>Ronn Robinson</v>
      </c>
      <c r="D75" s="12" t="s">
        <v>19</v>
      </c>
      <c r="E75" s="13" t="s">
        <v>64</v>
      </c>
      <c r="F75" s="31" t="str">
        <f>_xlfn.XLOOKUP(D75,EmployeeMaster!A:A,EmployeeMaster!C:C,0)</f>
        <v>Sales</v>
      </c>
      <c r="G75" s="33" t="s">
        <v>57</v>
      </c>
      <c r="H75" s="12">
        <v>47</v>
      </c>
      <c r="I75" s="12">
        <v>53110</v>
      </c>
      <c r="J75" s="12">
        <v>57425</v>
      </c>
      <c r="K75" s="35" t="s">
        <v>22</v>
      </c>
      <c r="L75" s="37">
        <f>_xlfn.XLOOKUP(K75,RegionBenchmarks!A:A,RegionBenchmarks!B:B,"Not Found")</f>
        <v>50000</v>
      </c>
      <c r="M75" s="39">
        <f t="shared" si="4"/>
        <v>0</v>
      </c>
      <c r="N75" s="42" t="str">
        <f t="shared" si="5"/>
        <v>No</v>
      </c>
      <c r="O75" s="43" t="str">
        <f t="shared" si="6"/>
        <v>May</v>
      </c>
    </row>
    <row r="76" spans="1:15" ht="18" customHeight="1" x14ac:dyDescent="0.35">
      <c r="A76" s="11">
        <v>616139</v>
      </c>
      <c r="B76" s="15">
        <v>45172</v>
      </c>
      <c r="C76" s="30" t="str">
        <f>_xlfn.XLOOKUP(D76,EmployeeMaster!A:A,EmployeeMaster!B:B,0)</f>
        <v>Lynda Smith</v>
      </c>
      <c r="D76" s="12" t="s">
        <v>6</v>
      </c>
      <c r="E76" s="13" t="s">
        <v>65</v>
      </c>
      <c r="F76" s="31" t="str">
        <f>_xlfn.XLOOKUP(D76,EmployeeMaster!A:A,EmployeeMaster!C:C,0)</f>
        <v>Sales</v>
      </c>
      <c r="G76" s="33" t="s">
        <v>56</v>
      </c>
      <c r="H76" s="12">
        <v>42</v>
      </c>
      <c r="I76" s="12">
        <v>51030</v>
      </c>
      <c r="J76" s="12">
        <v>44856</v>
      </c>
      <c r="K76" s="35" t="s">
        <v>10</v>
      </c>
      <c r="L76" s="37">
        <f>_xlfn.XLOOKUP(K76,RegionBenchmarks!A:A,RegionBenchmarks!B:B,"Not Found")</f>
        <v>68500</v>
      </c>
      <c r="M76" s="39">
        <f t="shared" ref="M76:M89" si="7">IF(I76&gt;=J76,I76*5%,0)</f>
        <v>2551.5</v>
      </c>
      <c r="N76" s="42" t="str">
        <f t="shared" si="5"/>
        <v>Ture</v>
      </c>
      <c r="O76" s="43" t="str">
        <f t="shared" si="6"/>
        <v>September</v>
      </c>
    </row>
    <row r="77" spans="1:15" ht="18" customHeight="1" x14ac:dyDescent="0.35">
      <c r="A77" s="11">
        <v>310196</v>
      </c>
      <c r="B77" s="15">
        <v>45232</v>
      </c>
      <c r="C77" s="30" t="str">
        <f>_xlfn.XLOOKUP(D77,EmployeeMaster!A:A,EmployeeMaster!B:B,0)</f>
        <v>Raj Mehta</v>
      </c>
      <c r="D77" s="12" t="s">
        <v>13</v>
      </c>
      <c r="E77" s="13" t="s">
        <v>65</v>
      </c>
      <c r="F77" s="31" t="str">
        <f>_xlfn.XLOOKUP(D77,EmployeeMaster!A:A,EmployeeMaster!C:C,0)</f>
        <v>Marketing</v>
      </c>
      <c r="G77" s="33" t="s">
        <v>56</v>
      </c>
      <c r="H77" s="12">
        <v>42</v>
      </c>
      <c r="I77" s="12">
        <v>75516</v>
      </c>
      <c r="J77" s="12">
        <v>71343</v>
      </c>
      <c r="K77" s="35" t="s">
        <v>17</v>
      </c>
      <c r="L77" s="37">
        <f>_xlfn.XLOOKUP(K77,RegionBenchmarks!A:A,RegionBenchmarks!B:B,"Not Found")</f>
        <v>60000</v>
      </c>
      <c r="M77" s="39">
        <f t="shared" si="7"/>
        <v>3775.8</v>
      </c>
      <c r="N77" s="42" t="str">
        <f t="shared" si="5"/>
        <v>Ture</v>
      </c>
      <c r="O77" s="43" t="str">
        <f t="shared" si="6"/>
        <v>November</v>
      </c>
    </row>
    <row r="78" spans="1:15" ht="18" customHeight="1" x14ac:dyDescent="0.35">
      <c r="A78" s="11">
        <v>855931</v>
      </c>
      <c r="B78" s="15">
        <v>45263</v>
      </c>
      <c r="C78" s="30" t="str">
        <f>_xlfn.XLOOKUP(D78,EmployeeMaster!A:A,EmployeeMaster!B:B,0)</f>
        <v>Ronn Robinson</v>
      </c>
      <c r="D78" s="12" t="s">
        <v>19</v>
      </c>
      <c r="E78" s="13" t="s">
        <v>65</v>
      </c>
      <c r="F78" s="31" t="str">
        <f>_xlfn.XLOOKUP(D78,EmployeeMaster!A:A,EmployeeMaster!C:C,0)</f>
        <v>Sales</v>
      </c>
      <c r="G78" s="33" t="s">
        <v>57</v>
      </c>
      <c r="H78" s="12">
        <v>35</v>
      </c>
      <c r="I78" s="12">
        <v>65975</v>
      </c>
      <c r="J78" s="12">
        <v>68313</v>
      </c>
      <c r="K78" s="35" t="s">
        <v>22</v>
      </c>
      <c r="L78" s="37">
        <f>_xlfn.XLOOKUP(K78,RegionBenchmarks!A:A,RegionBenchmarks!B:B,"Not Found")</f>
        <v>50000</v>
      </c>
      <c r="M78" s="39">
        <f t="shared" si="7"/>
        <v>0</v>
      </c>
      <c r="N78" s="42" t="str">
        <f t="shared" si="5"/>
        <v>No</v>
      </c>
      <c r="O78" s="43" t="str">
        <f t="shared" si="6"/>
        <v>December</v>
      </c>
    </row>
    <row r="79" spans="1:15" ht="18" customHeight="1" x14ac:dyDescent="0.35">
      <c r="A79" s="11">
        <v>659392</v>
      </c>
      <c r="B79" s="15">
        <v>45017</v>
      </c>
      <c r="C79" s="30" t="str">
        <f>_xlfn.XLOOKUP(D79,EmployeeMaster!A:A,EmployeeMaster!B:B,0)</f>
        <v>Lynda Smith</v>
      </c>
      <c r="D79" s="12" t="s">
        <v>6</v>
      </c>
      <c r="E79" s="13" t="s">
        <v>65</v>
      </c>
      <c r="F79" s="31" t="str">
        <f>_xlfn.XLOOKUP(D79,EmployeeMaster!A:A,EmployeeMaster!C:C,0)</f>
        <v>Sales</v>
      </c>
      <c r="G79" s="33" t="s">
        <v>56</v>
      </c>
      <c r="H79" s="12">
        <v>31</v>
      </c>
      <c r="I79" s="12">
        <v>54374</v>
      </c>
      <c r="J79" s="12">
        <v>53932</v>
      </c>
      <c r="K79" s="35" t="s">
        <v>10</v>
      </c>
      <c r="L79" s="37">
        <f>_xlfn.XLOOKUP(K79,RegionBenchmarks!A:A,RegionBenchmarks!B:B,"Not Found")</f>
        <v>68500</v>
      </c>
      <c r="M79" s="39">
        <f t="shared" si="7"/>
        <v>2718.7000000000003</v>
      </c>
      <c r="N79" s="42" t="str">
        <f t="shared" si="5"/>
        <v>Ture</v>
      </c>
      <c r="O79" s="43" t="str">
        <f t="shared" si="6"/>
        <v>April</v>
      </c>
    </row>
    <row r="80" spans="1:15" ht="18" customHeight="1" x14ac:dyDescent="0.35">
      <c r="A80" s="11">
        <v>509306</v>
      </c>
      <c r="B80" s="15">
        <v>45215</v>
      </c>
      <c r="C80" s="30" t="str">
        <f>_xlfn.XLOOKUP(D80,EmployeeMaster!A:A,EmployeeMaster!B:B,0)</f>
        <v>Christi Davis</v>
      </c>
      <c r="D80" s="12" t="s">
        <v>25</v>
      </c>
      <c r="E80" s="13" t="s">
        <v>65</v>
      </c>
      <c r="F80" s="31" t="str">
        <f>_xlfn.XLOOKUP(D80,EmployeeMaster!A:A,EmployeeMaster!C:C,0)</f>
        <v>Operations</v>
      </c>
      <c r="G80" s="33" t="s">
        <v>55</v>
      </c>
      <c r="H80" s="12">
        <v>37</v>
      </c>
      <c r="I80" s="12">
        <v>43031</v>
      </c>
      <c r="J80" s="12">
        <v>35131</v>
      </c>
      <c r="K80" s="35" t="s">
        <v>29</v>
      </c>
      <c r="L80" s="37">
        <f>_xlfn.XLOOKUP(K80,RegionBenchmarks!A:A,RegionBenchmarks!B:B,"Not Found")</f>
        <v>55000</v>
      </c>
      <c r="M80" s="39">
        <f t="shared" si="7"/>
        <v>2151.5500000000002</v>
      </c>
      <c r="N80" s="42" t="str">
        <f t="shared" si="5"/>
        <v>Ture</v>
      </c>
      <c r="O80" s="43" t="str">
        <f t="shared" si="6"/>
        <v>October</v>
      </c>
    </row>
    <row r="81" spans="1:15" ht="18" customHeight="1" x14ac:dyDescent="0.35">
      <c r="A81" s="11">
        <v>818214</v>
      </c>
      <c r="B81" s="15">
        <v>45235</v>
      </c>
      <c r="C81" s="30" t="str">
        <f>_xlfn.XLOOKUP(D81,EmployeeMaster!A:A,EmployeeMaster!B:B,0)</f>
        <v>Martina Brands</v>
      </c>
      <c r="D81" s="12" t="s">
        <v>39</v>
      </c>
      <c r="E81" s="13" t="s">
        <v>66</v>
      </c>
      <c r="F81" s="31" t="str">
        <f>_xlfn.XLOOKUP(D81,EmployeeMaster!A:A,EmployeeMaster!C:C,0)</f>
        <v>Marketing</v>
      </c>
      <c r="G81" s="33" t="s">
        <v>55</v>
      </c>
      <c r="H81" s="12">
        <v>22</v>
      </c>
      <c r="I81" s="12">
        <v>41338</v>
      </c>
      <c r="J81" s="12">
        <v>38627</v>
      </c>
      <c r="K81" s="35" t="s">
        <v>10</v>
      </c>
      <c r="L81" s="37">
        <f>_xlfn.XLOOKUP(K81,RegionBenchmarks!A:A,RegionBenchmarks!B:B,"Not Found")</f>
        <v>68500</v>
      </c>
      <c r="M81" s="39">
        <f t="shared" si="7"/>
        <v>2066.9</v>
      </c>
      <c r="N81" s="42" t="str">
        <f t="shared" si="5"/>
        <v>Ture</v>
      </c>
      <c r="O81" s="43" t="str">
        <f t="shared" si="6"/>
        <v>November</v>
      </c>
    </row>
    <row r="82" spans="1:15" ht="18" customHeight="1" x14ac:dyDescent="0.35">
      <c r="A82" s="11">
        <v>667432</v>
      </c>
      <c r="B82" s="15">
        <v>45092</v>
      </c>
      <c r="C82" s="30" t="str">
        <f>_xlfn.XLOOKUP(D82,EmployeeMaster!A:A,EmployeeMaster!B:B,0)</f>
        <v>John Taylor</v>
      </c>
      <c r="D82" s="12" t="s">
        <v>43</v>
      </c>
      <c r="E82" s="13" t="s">
        <v>66</v>
      </c>
      <c r="F82" s="31" t="str">
        <f>_xlfn.XLOOKUP(D82,EmployeeMaster!A:A,EmployeeMaster!C:C,0)</f>
        <v>Sales</v>
      </c>
      <c r="G82" s="33" t="s">
        <v>55</v>
      </c>
      <c r="H82" s="12">
        <v>42</v>
      </c>
      <c r="I82" s="12">
        <v>55104</v>
      </c>
      <c r="J82" s="12">
        <v>46661</v>
      </c>
      <c r="K82" s="35" t="s">
        <v>22</v>
      </c>
      <c r="L82" s="37">
        <f>_xlfn.XLOOKUP(K82,RegionBenchmarks!A:A,RegionBenchmarks!B:B,"Not Found")</f>
        <v>50000</v>
      </c>
      <c r="M82" s="39">
        <f t="shared" si="7"/>
        <v>2755.2000000000003</v>
      </c>
      <c r="N82" s="42" t="str">
        <f t="shared" si="5"/>
        <v>Ture</v>
      </c>
      <c r="O82" s="43" t="str">
        <f t="shared" si="6"/>
        <v>June</v>
      </c>
    </row>
    <row r="83" spans="1:15" ht="18" customHeight="1" x14ac:dyDescent="0.35">
      <c r="A83" s="11">
        <v>572637</v>
      </c>
      <c r="B83" s="15">
        <v>45227</v>
      </c>
      <c r="C83" s="30" t="str">
        <f>_xlfn.XLOOKUP(D83,EmployeeMaster!A:A,EmployeeMaster!B:B,0)</f>
        <v>Lynda Smith</v>
      </c>
      <c r="D83" s="12" t="s">
        <v>6</v>
      </c>
      <c r="E83" s="13" t="s">
        <v>66</v>
      </c>
      <c r="F83" s="31" t="str">
        <f>_xlfn.XLOOKUP(D83,EmployeeMaster!A:A,EmployeeMaster!C:C,0)</f>
        <v>Sales</v>
      </c>
      <c r="G83" s="33" t="s">
        <v>55</v>
      </c>
      <c r="H83" s="12">
        <v>32</v>
      </c>
      <c r="I83" s="12">
        <v>45056</v>
      </c>
      <c r="J83" s="12">
        <v>44678</v>
      </c>
      <c r="K83" s="35" t="s">
        <v>10</v>
      </c>
      <c r="L83" s="37">
        <f>_xlfn.XLOOKUP(K83,RegionBenchmarks!A:A,RegionBenchmarks!B:B,"Not Found")</f>
        <v>68500</v>
      </c>
      <c r="M83" s="39">
        <f t="shared" si="7"/>
        <v>2252.8000000000002</v>
      </c>
      <c r="N83" s="42" t="str">
        <f t="shared" si="5"/>
        <v>Ture</v>
      </c>
      <c r="O83" s="43" t="str">
        <f t="shared" si="6"/>
        <v>October</v>
      </c>
    </row>
    <row r="84" spans="1:15" ht="18" customHeight="1" x14ac:dyDescent="0.35">
      <c r="A84" s="11">
        <v>889905</v>
      </c>
      <c r="B84" s="15">
        <v>45282</v>
      </c>
      <c r="C84" s="30" t="str">
        <f>_xlfn.XLOOKUP(D84,EmployeeMaster!A:A,EmployeeMaster!B:B,0)</f>
        <v>Joe Lyn</v>
      </c>
      <c r="D84" s="12" t="s">
        <v>31</v>
      </c>
      <c r="E84" s="13" t="s">
        <v>66</v>
      </c>
      <c r="F84" s="31" t="str">
        <f>_xlfn.XLOOKUP(D84,EmployeeMaster!A:A,EmployeeMaster!C:C,0)</f>
        <v>Sales</v>
      </c>
      <c r="G84" s="33" t="s">
        <v>56</v>
      </c>
      <c r="H84" s="12">
        <v>42</v>
      </c>
      <c r="I84" s="12">
        <v>69552</v>
      </c>
      <c r="J84" s="12">
        <v>66206</v>
      </c>
      <c r="K84" s="35" t="s">
        <v>34</v>
      </c>
      <c r="L84" s="37">
        <f>_xlfn.XLOOKUP(K84,RegionBenchmarks!A:A,RegionBenchmarks!B:B,"Not Found")</f>
        <v>45000</v>
      </c>
      <c r="M84" s="39">
        <f t="shared" si="7"/>
        <v>3477.6000000000004</v>
      </c>
      <c r="N84" s="42" t="str">
        <f t="shared" si="5"/>
        <v>Ture</v>
      </c>
      <c r="O84" s="43" t="str">
        <f t="shared" si="6"/>
        <v>December</v>
      </c>
    </row>
    <row r="85" spans="1:15" ht="18" customHeight="1" x14ac:dyDescent="0.35">
      <c r="A85" s="11">
        <v>556516</v>
      </c>
      <c r="B85" s="15">
        <v>44992</v>
      </c>
      <c r="C85" s="30" t="str">
        <f>_xlfn.XLOOKUP(D85,EmployeeMaster!A:A,EmployeeMaster!B:B,0)</f>
        <v>Fatima Zhang</v>
      </c>
      <c r="D85" s="12" t="s">
        <v>36</v>
      </c>
      <c r="E85" s="13" t="s">
        <v>66</v>
      </c>
      <c r="F85" s="31" t="str">
        <f>_xlfn.XLOOKUP(D85,EmployeeMaster!A:A,EmployeeMaster!C:C,0)</f>
        <v>Sales</v>
      </c>
      <c r="G85" s="33" t="s">
        <v>55</v>
      </c>
      <c r="H85" s="12">
        <v>21</v>
      </c>
      <c r="I85" s="12">
        <v>23478</v>
      </c>
      <c r="J85" s="12">
        <v>14109</v>
      </c>
      <c r="K85" s="35" t="s">
        <v>17</v>
      </c>
      <c r="L85" s="37">
        <f>_xlfn.XLOOKUP(K85,RegionBenchmarks!A:A,RegionBenchmarks!B:B,"Not Found")</f>
        <v>60000</v>
      </c>
      <c r="M85" s="39">
        <f t="shared" si="7"/>
        <v>1173.9000000000001</v>
      </c>
      <c r="N85" s="42" t="str">
        <f t="shared" si="5"/>
        <v>Ture</v>
      </c>
      <c r="O85" s="43" t="str">
        <f t="shared" si="6"/>
        <v>March</v>
      </c>
    </row>
    <row r="86" spans="1:15" ht="18" customHeight="1" x14ac:dyDescent="0.35">
      <c r="A86" s="11">
        <v>296032</v>
      </c>
      <c r="B86" s="15">
        <v>45240</v>
      </c>
      <c r="C86" s="30" t="str">
        <f>_xlfn.XLOOKUP(D86,EmployeeMaster!A:A,EmployeeMaster!B:B,0)</f>
        <v>Joe Lyn</v>
      </c>
      <c r="D86" s="12" t="s">
        <v>31</v>
      </c>
      <c r="E86" s="13" t="s">
        <v>66</v>
      </c>
      <c r="F86" s="31" t="str">
        <f>_xlfn.XLOOKUP(D86,EmployeeMaster!A:A,EmployeeMaster!C:C,0)</f>
        <v>Sales</v>
      </c>
      <c r="G86" s="33" t="s">
        <v>57</v>
      </c>
      <c r="H86" s="12">
        <v>22</v>
      </c>
      <c r="I86" s="12">
        <v>24442</v>
      </c>
      <c r="J86" s="12">
        <v>19668</v>
      </c>
      <c r="K86" s="35" t="s">
        <v>34</v>
      </c>
      <c r="L86" s="37">
        <f>_xlfn.XLOOKUP(K86,RegionBenchmarks!A:A,RegionBenchmarks!B:B,"Not Found")</f>
        <v>45000</v>
      </c>
      <c r="M86" s="39">
        <f t="shared" si="7"/>
        <v>1222.1000000000001</v>
      </c>
      <c r="N86" s="42" t="str">
        <f t="shared" si="5"/>
        <v>Ture</v>
      </c>
      <c r="O86" s="43" t="str">
        <f t="shared" si="6"/>
        <v>November</v>
      </c>
    </row>
    <row r="87" spans="1:15" ht="18" customHeight="1" x14ac:dyDescent="0.35">
      <c r="A87" s="11">
        <v>222196</v>
      </c>
      <c r="B87" s="15">
        <v>45252</v>
      </c>
      <c r="C87" s="30" t="str">
        <f>_xlfn.XLOOKUP(D87,EmployeeMaster!A:A,EmployeeMaster!B:B,0)</f>
        <v>Fatima Zhang</v>
      </c>
      <c r="D87" s="12" t="s">
        <v>36</v>
      </c>
      <c r="E87" s="13" t="s">
        <v>67</v>
      </c>
      <c r="F87" s="31" t="str">
        <f>_xlfn.XLOOKUP(D87,EmployeeMaster!A:A,EmployeeMaster!C:C,0)</f>
        <v>Sales</v>
      </c>
      <c r="G87" s="33" t="s">
        <v>57</v>
      </c>
      <c r="H87" s="12">
        <v>47</v>
      </c>
      <c r="I87" s="12">
        <v>76140</v>
      </c>
      <c r="J87" s="12">
        <v>72761</v>
      </c>
      <c r="K87" s="35" t="s">
        <v>17</v>
      </c>
      <c r="L87" s="37">
        <f>_xlfn.XLOOKUP(K87,RegionBenchmarks!A:A,RegionBenchmarks!B:B,"Not Found")</f>
        <v>60000</v>
      </c>
      <c r="M87" s="39">
        <f t="shared" si="7"/>
        <v>3807</v>
      </c>
      <c r="N87" s="42" t="str">
        <f t="shared" si="5"/>
        <v>Ture</v>
      </c>
      <c r="O87" s="43" t="str">
        <f t="shared" si="6"/>
        <v>November</v>
      </c>
    </row>
    <row r="88" spans="1:15" ht="18" customHeight="1" x14ac:dyDescent="0.35">
      <c r="A88" s="11">
        <v>297033</v>
      </c>
      <c r="B88" s="15">
        <v>45054</v>
      </c>
      <c r="C88" s="30" t="str">
        <f>_xlfn.XLOOKUP(D88,EmployeeMaster!A:A,EmployeeMaster!B:B,0)</f>
        <v>Christi Davis</v>
      </c>
      <c r="D88" s="12" t="s">
        <v>25</v>
      </c>
      <c r="E88" s="13" t="s">
        <v>67</v>
      </c>
      <c r="F88" s="31" t="str">
        <f>_xlfn.XLOOKUP(D88,EmployeeMaster!A:A,EmployeeMaster!C:C,0)</f>
        <v>Operations</v>
      </c>
      <c r="G88" s="33" t="s">
        <v>55</v>
      </c>
      <c r="H88" s="12">
        <v>36</v>
      </c>
      <c r="I88" s="12">
        <v>37620</v>
      </c>
      <c r="J88" s="12">
        <v>31008</v>
      </c>
      <c r="K88" s="35" t="s">
        <v>29</v>
      </c>
      <c r="L88" s="37">
        <f>_xlfn.XLOOKUP(K88,RegionBenchmarks!A:A,RegionBenchmarks!B:B,"Not Found")</f>
        <v>55000</v>
      </c>
      <c r="M88" s="39">
        <f t="shared" si="7"/>
        <v>1881</v>
      </c>
      <c r="N88" s="42" t="str">
        <f t="shared" si="5"/>
        <v>Ture</v>
      </c>
      <c r="O88" s="43" t="str">
        <f t="shared" si="6"/>
        <v>May</v>
      </c>
    </row>
    <row r="89" spans="1:15" ht="18" customHeight="1" x14ac:dyDescent="0.35">
      <c r="A89" s="11">
        <v>719040</v>
      </c>
      <c r="B89" s="15">
        <v>45120</v>
      </c>
      <c r="C89" s="30" t="str">
        <f>_xlfn.XLOOKUP(D89,EmployeeMaster!A:A,EmployeeMaster!B:B,0)</f>
        <v>Christi Davis</v>
      </c>
      <c r="D89" s="12" t="s">
        <v>25</v>
      </c>
      <c r="E89" s="13" t="s">
        <v>67</v>
      </c>
      <c r="F89" s="31" t="str">
        <f>_xlfn.XLOOKUP(D89,EmployeeMaster!A:A,EmployeeMaster!C:C,0)</f>
        <v>Operations</v>
      </c>
      <c r="G89" s="33" t="s">
        <v>57</v>
      </c>
      <c r="H89" s="12">
        <v>43</v>
      </c>
      <c r="I89" s="12">
        <v>61963</v>
      </c>
      <c r="J89" s="12">
        <v>65817</v>
      </c>
      <c r="K89" s="35" t="s">
        <v>29</v>
      </c>
      <c r="L89" s="37">
        <f>_xlfn.XLOOKUP(K89,RegionBenchmarks!A:A,RegionBenchmarks!B:B,"Not Found")</f>
        <v>55000</v>
      </c>
      <c r="M89" s="39">
        <f t="shared" si="7"/>
        <v>0</v>
      </c>
      <c r="N89" s="42" t="str">
        <f t="shared" si="5"/>
        <v>No</v>
      </c>
      <c r="O89" s="43" t="str">
        <f t="shared" si="6"/>
        <v>July</v>
      </c>
    </row>
    <row r="90" spans="1:15" ht="18" customHeight="1" x14ac:dyDescent="0.35">
      <c r="A90" s="11">
        <v>819436</v>
      </c>
      <c r="B90" s="15">
        <v>44944</v>
      </c>
      <c r="C90" s="30" t="str">
        <f>_xlfn.XLOOKUP(D90,EmployeeMaster!A:A,EmployeeMaster!B:B,0)</f>
        <v>Fatima Zhang</v>
      </c>
      <c r="D90" s="12" t="s">
        <v>36</v>
      </c>
      <c r="E90" s="13" t="s">
        <v>67</v>
      </c>
      <c r="F90" s="31" t="str">
        <f>_xlfn.XLOOKUP(D90,EmployeeMaster!A:A,EmployeeMaster!C:C,0)</f>
        <v>Sales</v>
      </c>
      <c r="G90" s="33" t="s">
        <v>56</v>
      </c>
      <c r="H90" s="12">
        <v>27</v>
      </c>
      <c r="I90" s="12">
        <v>46899</v>
      </c>
      <c r="J90" s="12">
        <v>37153</v>
      </c>
      <c r="K90" s="35" t="s">
        <v>17</v>
      </c>
      <c r="L90" s="37">
        <f>_xlfn.XLOOKUP(K90,RegionBenchmarks!A:A,RegionBenchmarks!B:B,"Not Found")</f>
        <v>60000</v>
      </c>
      <c r="M90" s="39">
        <f t="shared" ref="M90:M101" si="8">IF(I90&gt;=J90,I90*5%,0)</f>
        <v>2344.9500000000003</v>
      </c>
      <c r="N90" s="42" t="str">
        <f t="shared" si="5"/>
        <v>Ture</v>
      </c>
      <c r="O90" s="43" t="str">
        <f t="shared" si="6"/>
        <v>January</v>
      </c>
    </row>
    <row r="91" spans="1:15" ht="18" customHeight="1" x14ac:dyDescent="0.35">
      <c r="A91" s="11">
        <v>972881</v>
      </c>
      <c r="B91" s="15">
        <v>45100</v>
      </c>
      <c r="C91" s="30" t="str">
        <f>_xlfn.XLOOKUP(D91,EmployeeMaster!A:A,EmployeeMaster!B:B,0)</f>
        <v>Joe Lyn</v>
      </c>
      <c r="D91" s="12" t="s">
        <v>31</v>
      </c>
      <c r="E91" s="13" t="s">
        <v>67</v>
      </c>
      <c r="F91" s="31" t="str">
        <f>_xlfn.XLOOKUP(D91,EmployeeMaster!A:A,EmployeeMaster!C:C,0)</f>
        <v>Sales</v>
      </c>
      <c r="G91" s="33" t="s">
        <v>57</v>
      </c>
      <c r="H91" s="12">
        <v>46</v>
      </c>
      <c r="I91" s="12">
        <v>61364</v>
      </c>
      <c r="J91" s="12">
        <v>59772</v>
      </c>
      <c r="K91" s="35" t="s">
        <v>34</v>
      </c>
      <c r="L91" s="37">
        <f>_xlfn.XLOOKUP(K91,RegionBenchmarks!A:A,RegionBenchmarks!B:B,"Not Found")</f>
        <v>45000</v>
      </c>
      <c r="M91" s="39">
        <f t="shared" si="8"/>
        <v>3068.2000000000003</v>
      </c>
      <c r="N91" s="42" t="str">
        <f t="shared" si="5"/>
        <v>Ture</v>
      </c>
      <c r="O91" s="43" t="str">
        <f t="shared" si="6"/>
        <v>June</v>
      </c>
    </row>
    <row r="92" spans="1:15" ht="18" customHeight="1" x14ac:dyDescent="0.35">
      <c r="A92" s="11">
        <v>783928</v>
      </c>
      <c r="B92" s="15">
        <v>44978</v>
      </c>
      <c r="C92" s="30" t="str">
        <f>_xlfn.XLOOKUP(D92,EmployeeMaster!A:A,EmployeeMaster!B:B,0)</f>
        <v>Ronn Robinson</v>
      </c>
      <c r="D92" s="12" t="s">
        <v>19</v>
      </c>
      <c r="E92" s="13" t="s">
        <v>68</v>
      </c>
      <c r="F92" s="31" t="str">
        <f>_xlfn.XLOOKUP(D92,EmployeeMaster!A:A,EmployeeMaster!C:C,0)</f>
        <v>Sales</v>
      </c>
      <c r="G92" s="33" t="s">
        <v>56</v>
      </c>
      <c r="H92" s="12">
        <v>32</v>
      </c>
      <c r="I92" s="12">
        <v>45760</v>
      </c>
      <c r="J92" s="12">
        <v>39866</v>
      </c>
      <c r="K92" s="35" t="s">
        <v>22</v>
      </c>
      <c r="L92" s="37">
        <f>_xlfn.XLOOKUP(K92,RegionBenchmarks!A:A,RegionBenchmarks!B:B,"Not Found")</f>
        <v>50000</v>
      </c>
      <c r="M92" s="39">
        <f t="shared" si="8"/>
        <v>2288</v>
      </c>
      <c r="N92" s="42" t="str">
        <f t="shared" si="5"/>
        <v>Ture</v>
      </c>
      <c r="O92" s="43" t="str">
        <f t="shared" si="6"/>
        <v>February</v>
      </c>
    </row>
    <row r="93" spans="1:15" ht="18" customHeight="1" x14ac:dyDescent="0.35">
      <c r="A93" s="11">
        <v>951955</v>
      </c>
      <c r="B93" s="15">
        <v>44976</v>
      </c>
      <c r="C93" s="30" t="str">
        <f>_xlfn.XLOOKUP(D93,EmployeeMaster!A:A,EmployeeMaster!B:B,0)</f>
        <v>Ronn Robinson</v>
      </c>
      <c r="D93" s="12" t="s">
        <v>19</v>
      </c>
      <c r="E93" s="13" t="s">
        <v>68</v>
      </c>
      <c r="F93" s="31" t="str">
        <f>_xlfn.XLOOKUP(D93,EmployeeMaster!A:A,EmployeeMaster!C:C,0)</f>
        <v>Sales</v>
      </c>
      <c r="G93" s="33" t="s">
        <v>56</v>
      </c>
      <c r="H93" s="12">
        <v>59</v>
      </c>
      <c r="I93" s="12">
        <v>93338</v>
      </c>
      <c r="J93" s="12">
        <v>93408</v>
      </c>
      <c r="K93" s="35" t="s">
        <v>22</v>
      </c>
      <c r="L93" s="37">
        <f>_xlfn.XLOOKUP(K93,RegionBenchmarks!A:A,RegionBenchmarks!B:B,"Not Found")</f>
        <v>50000</v>
      </c>
      <c r="M93" s="39">
        <f t="shared" si="8"/>
        <v>0</v>
      </c>
      <c r="N93" s="42" t="str">
        <f t="shared" si="5"/>
        <v>No</v>
      </c>
      <c r="O93" s="43" t="str">
        <f t="shared" si="6"/>
        <v>February</v>
      </c>
    </row>
    <row r="94" spans="1:15" ht="18" customHeight="1" x14ac:dyDescent="0.35">
      <c r="A94" s="11">
        <v>500635</v>
      </c>
      <c r="B94" s="15">
        <v>45265</v>
      </c>
      <c r="C94" s="30" t="str">
        <f>_xlfn.XLOOKUP(D94,EmployeeMaster!A:A,EmployeeMaster!B:B,0)</f>
        <v>Lynda Smith</v>
      </c>
      <c r="D94" s="12" t="s">
        <v>6</v>
      </c>
      <c r="E94" s="13" t="s">
        <v>68</v>
      </c>
      <c r="F94" s="31" t="str">
        <f>_xlfn.XLOOKUP(D94,EmployeeMaster!A:A,EmployeeMaster!C:C,0)</f>
        <v>Sales</v>
      </c>
      <c r="G94" s="33" t="s">
        <v>56</v>
      </c>
      <c r="H94" s="12">
        <v>39</v>
      </c>
      <c r="I94" s="12">
        <v>50427</v>
      </c>
      <c r="J94" s="12">
        <v>51984</v>
      </c>
      <c r="K94" s="35" t="s">
        <v>10</v>
      </c>
      <c r="L94" s="37">
        <f>_xlfn.XLOOKUP(K94,RegionBenchmarks!A:A,RegionBenchmarks!B:B,"Not Found")</f>
        <v>68500</v>
      </c>
      <c r="M94" s="39">
        <f t="shared" si="8"/>
        <v>0</v>
      </c>
      <c r="N94" s="42" t="str">
        <f t="shared" si="5"/>
        <v>No</v>
      </c>
      <c r="O94" s="43" t="str">
        <f t="shared" si="6"/>
        <v>December</v>
      </c>
    </row>
    <row r="95" spans="1:15" ht="18" customHeight="1" x14ac:dyDescent="0.35">
      <c r="A95" s="11">
        <v>120112</v>
      </c>
      <c r="B95" s="15">
        <v>45084</v>
      </c>
      <c r="C95" s="30" t="str">
        <f>_xlfn.XLOOKUP(D95,EmployeeMaster!A:A,EmployeeMaster!B:B,0)</f>
        <v>Fatima Zhang</v>
      </c>
      <c r="D95" s="12" t="s">
        <v>36</v>
      </c>
      <c r="E95" s="13" t="s">
        <v>68</v>
      </c>
      <c r="F95" s="31" t="str">
        <f>_xlfn.XLOOKUP(D95,EmployeeMaster!A:A,EmployeeMaster!C:C,0)</f>
        <v>Sales</v>
      </c>
      <c r="G95" s="33" t="s">
        <v>55</v>
      </c>
      <c r="H95" s="12">
        <v>49</v>
      </c>
      <c r="I95" s="12">
        <v>71148</v>
      </c>
      <c r="J95" s="12">
        <v>68904</v>
      </c>
      <c r="K95" s="35" t="s">
        <v>17</v>
      </c>
      <c r="L95" s="37">
        <f>_xlfn.XLOOKUP(K95,RegionBenchmarks!A:A,RegionBenchmarks!B:B,"Not Found")</f>
        <v>60000</v>
      </c>
      <c r="M95" s="39">
        <f t="shared" si="8"/>
        <v>3557.4</v>
      </c>
      <c r="N95" s="42" t="str">
        <f t="shared" si="5"/>
        <v>Ture</v>
      </c>
      <c r="O95" s="43" t="str">
        <f t="shared" si="6"/>
        <v>June</v>
      </c>
    </row>
    <row r="96" spans="1:15" ht="18" customHeight="1" x14ac:dyDescent="0.35">
      <c r="A96" s="11">
        <v>746721</v>
      </c>
      <c r="B96" s="15">
        <v>45116</v>
      </c>
      <c r="C96" s="30" t="str">
        <f>_xlfn.XLOOKUP(D96,EmployeeMaster!A:A,EmployeeMaster!B:B,0)</f>
        <v>John Taylor</v>
      </c>
      <c r="D96" s="12" t="s">
        <v>43</v>
      </c>
      <c r="E96" s="13" t="s">
        <v>68</v>
      </c>
      <c r="F96" s="31" t="str">
        <f>_xlfn.XLOOKUP(D96,EmployeeMaster!A:A,EmployeeMaster!C:C,0)</f>
        <v>Sales</v>
      </c>
      <c r="G96" s="33" t="s">
        <v>56</v>
      </c>
      <c r="H96" s="12">
        <v>30</v>
      </c>
      <c r="I96" s="12">
        <v>50220</v>
      </c>
      <c r="J96" s="12">
        <v>53831</v>
      </c>
      <c r="K96" s="35" t="s">
        <v>22</v>
      </c>
      <c r="L96" s="37">
        <f>_xlfn.XLOOKUP(K96,RegionBenchmarks!A:A,RegionBenchmarks!B:B,"Not Found")</f>
        <v>50000</v>
      </c>
      <c r="M96" s="39">
        <f t="shared" si="8"/>
        <v>0</v>
      </c>
      <c r="N96" s="42" t="str">
        <f t="shared" si="5"/>
        <v>No</v>
      </c>
      <c r="O96" s="43" t="str">
        <f t="shared" si="6"/>
        <v>July</v>
      </c>
    </row>
    <row r="97" spans="1:15" ht="18" customHeight="1" x14ac:dyDescent="0.35">
      <c r="A97" s="11">
        <v>149864</v>
      </c>
      <c r="B97" s="15">
        <v>45283</v>
      </c>
      <c r="C97" s="30" t="str">
        <f>_xlfn.XLOOKUP(D97,EmployeeMaster!A:A,EmployeeMaster!B:B,0)</f>
        <v>Fatima Zhang</v>
      </c>
      <c r="D97" s="12" t="s">
        <v>36</v>
      </c>
      <c r="E97" s="13" t="s">
        <v>68</v>
      </c>
      <c r="F97" s="31" t="str">
        <f>_xlfn.XLOOKUP(D97,EmployeeMaster!A:A,EmployeeMaster!C:C,0)</f>
        <v>Sales</v>
      </c>
      <c r="G97" s="33" t="s">
        <v>56</v>
      </c>
      <c r="H97" s="12">
        <v>25</v>
      </c>
      <c r="I97" s="12">
        <v>45950</v>
      </c>
      <c r="J97" s="12">
        <v>38644</v>
      </c>
      <c r="K97" s="35" t="s">
        <v>17</v>
      </c>
      <c r="L97" s="37">
        <f>_xlfn.XLOOKUP(K97,RegionBenchmarks!A:A,RegionBenchmarks!B:B,"Not Found")</f>
        <v>60000</v>
      </c>
      <c r="M97" s="39">
        <f t="shared" si="8"/>
        <v>2297.5</v>
      </c>
      <c r="N97" s="42" t="str">
        <f t="shared" si="5"/>
        <v>Ture</v>
      </c>
      <c r="O97" s="43" t="str">
        <f t="shared" si="6"/>
        <v>December</v>
      </c>
    </row>
    <row r="98" spans="1:15" ht="18" customHeight="1" x14ac:dyDescent="0.35">
      <c r="A98" s="11">
        <v>913305</v>
      </c>
      <c r="B98" s="15">
        <v>45194</v>
      </c>
      <c r="C98" s="30" t="str">
        <f>_xlfn.XLOOKUP(D98,EmployeeMaster!A:A,EmployeeMaster!B:B,0)</f>
        <v>Joe Lyn</v>
      </c>
      <c r="D98" s="12" t="s">
        <v>31</v>
      </c>
      <c r="E98" s="13" t="s">
        <v>68</v>
      </c>
      <c r="F98" s="31" t="str">
        <f>_xlfn.XLOOKUP(D98,EmployeeMaster!A:A,EmployeeMaster!C:C,0)</f>
        <v>Sales</v>
      </c>
      <c r="G98" s="33" t="s">
        <v>55</v>
      </c>
      <c r="H98" s="12">
        <v>34</v>
      </c>
      <c r="I98" s="12">
        <v>62050</v>
      </c>
      <c r="J98" s="12">
        <v>63788</v>
      </c>
      <c r="K98" s="35" t="s">
        <v>34</v>
      </c>
      <c r="L98" s="37">
        <f>_xlfn.XLOOKUP(K98,RegionBenchmarks!A:A,RegionBenchmarks!B:B,"Not Found")</f>
        <v>45000</v>
      </c>
      <c r="M98" s="39">
        <f t="shared" si="8"/>
        <v>0</v>
      </c>
      <c r="N98" s="42" t="str">
        <f t="shared" si="5"/>
        <v>No</v>
      </c>
      <c r="O98" s="43" t="str">
        <f t="shared" si="6"/>
        <v>September</v>
      </c>
    </row>
    <row r="99" spans="1:15" ht="18" customHeight="1" x14ac:dyDescent="0.35">
      <c r="A99" s="11">
        <v>349637</v>
      </c>
      <c r="B99" s="15">
        <v>44944</v>
      </c>
      <c r="C99" s="30" t="str">
        <f>_xlfn.XLOOKUP(D99,EmployeeMaster!A:A,EmployeeMaster!B:B,0)</f>
        <v>Lynda Smith</v>
      </c>
      <c r="D99" s="12" t="s">
        <v>6</v>
      </c>
      <c r="E99" s="13" t="s">
        <v>68</v>
      </c>
      <c r="F99" s="31" t="str">
        <f>_xlfn.XLOOKUP(D99,EmployeeMaster!A:A,EmployeeMaster!C:C,0)</f>
        <v>Sales</v>
      </c>
      <c r="G99" s="33" t="s">
        <v>57</v>
      </c>
      <c r="H99" s="12">
        <v>35</v>
      </c>
      <c r="I99" s="12">
        <v>52010</v>
      </c>
      <c r="J99" s="12">
        <v>46995</v>
      </c>
      <c r="K99" s="35" t="s">
        <v>10</v>
      </c>
      <c r="L99" s="37">
        <f>_xlfn.XLOOKUP(K99,RegionBenchmarks!A:A,RegionBenchmarks!B:B,"Not Found")</f>
        <v>68500</v>
      </c>
      <c r="M99" s="39">
        <f t="shared" si="8"/>
        <v>2600.5</v>
      </c>
      <c r="N99" s="42" t="str">
        <f t="shared" si="5"/>
        <v>Ture</v>
      </c>
      <c r="O99" s="43" t="str">
        <f t="shared" si="6"/>
        <v>January</v>
      </c>
    </row>
    <row r="100" spans="1:15" ht="18" customHeight="1" x14ac:dyDescent="0.35">
      <c r="A100" s="11">
        <v>112584</v>
      </c>
      <c r="B100" s="15">
        <v>45012</v>
      </c>
      <c r="C100" s="30" t="str">
        <f>_xlfn.XLOOKUP(D100,EmployeeMaster!A:A,EmployeeMaster!B:B,0)</f>
        <v>Martina Brands</v>
      </c>
      <c r="D100" s="12" t="s">
        <v>39</v>
      </c>
      <c r="E100" s="13" t="s">
        <v>68</v>
      </c>
      <c r="F100" s="31" t="str">
        <f>_xlfn.XLOOKUP(D100,EmployeeMaster!A:A,EmployeeMaster!C:C,0)</f>
        <v>Marketing</v>
      </c>
      <c r="G100" s="33" t="s">
        <v>56</v>
      </c>
      <c r="H100" s="12">
        <v>60</v>
      </c>
      <c r="I100" s="12">
        <v>95340</v>
      </c>
      <c r="J100" s="12">
        <v>97155</v>
      </c>
      <c r="K100" s="35" t="s">
        <v>10</v>
      </c>
      <c r="L100" s="37">
        <f>_xlfn.XLOOKUP(K100,RegionBenchmarks!A:A,RegionBenchmarks!B:B,"Not Found")</f>
        <v>68500</v>
      </c>
      <c r="M100" s="39">
        <f t="shared" si="8"/>
        <v>0</v>
      </c>
      <c r="N100" s="42" t="str">
        <f t="shared" si="5"/>
        <v>No</v>
      </c>
      <c r="O100" s="43" t="str">
        <f t="shared" si="6"/>
        <v>March</v>
      </c>
    </row>
    <row r="101" spans="1:15" ht="18" customHeight="1" x14ac:dyDescent="0.35">
      <c r="A101" s="11">
        <v>525728</v>
      </c>
      <c r="B101" s="15">
        <v>45265</v>
      </c>
      <c r="C101" s="30" t="str">
        <f>_xlfn.XLOOKUP(D101,EmployeeMaster!A:A,EmployeeMaster!B:B,0)</f>
        <v>Martina Brands</v>
      </c>
      <c r="D101" s="12" t="s">
        <v>39</v>
      </c>
      <c r="E101" s="13" t="s">
        <v>68</v>
      </c>
      <c r="F101" s="31" t="str">
        <f>_xlfn.XLOOKUP(D101,EmployeeMaster!A:A,EmployeeMaster!C:C,0)</f>
        <v>Marketing</v>
      </c>
      <c r="G101" s="33" t="s">
        <v>56</v>
      </c>
      <c r="H101" s="12">
        <v>51</v>
      </c>
      <c r="I101" s="12">
        <v>71859</v>
      </c>
      <c r="J101" s="12">
        <v>72862</v>
      </c>
      <c r="K101" s="35" t="s">
        <v>10</v>
      </c>
      <c r="L101" s="37">
        <f>_xlfn.XLOOKUP(K101,RegionBenchmarks!A:A,RegionBenchmarks!B:B,"Not Found")</f>
        <v>68500</v>
      </c>
      <c r="M101" s="39">
        <f t="shared" si="8"/>
        <v>0</v>
      </c>
      <c r="N101" s="42" t="str">
        <f t="shared" si="5"/>
        <v>No</v>
      </c>
      <c r="O101" s="43" t="str">
        <f t="shared" si="6"/>
        <v>December</v>
      </c>
    </row>
    <row r="102" spans="1:15" ht="14.25" customHeight="1" x14ac:dyDescent="0.35">
      <c r="A102" s="4"/>
      <c r="E102" s="5"/>
      <c r="F102" s="5"/>
    </row>
    <row r="103" spans="1:15" ht="14.25" customHeight="1" x14ac:dyDescent="0.35">
      <c r="A103" s="4"/>
      <c r="E103" s="5"/>
      <c r="F103" s="5"/>
    </row>
    <row r="104" spans="1:15" ht="14.25" customHeight="1" x14ac:dyDescent="0.35">
      <c r="A104" s="4"/>
      <c r="E104" s="5"/>
      <c r="F104" s="5"/>
    </row>
    <row r="105" spans="1:15" ht="14.25" customHeight="1" x14ac:dyDescent="0.35">
      <c r="A105" s="4"/>
      <c r="E105" s="5"/>
      <c r="F105" s="5"/>
    </row>
    <row r="106" spans="1:15" ht="14.25" customHeight="1" x14ac:dyDescent="0.35">
      <c r="A106" s="4"/>
      <c r="E106" s="5"/>
      <c r="F106" s="5"/>
    </row>
    <row r="107" spans="1:15" ht="14.25" customHeight="1" x14ac:dyDescent="0.35">
      <c r="A107" s="4"/>
      <c r="E107" s="5"/>
      <c r="F107" s="5"/>
    </row>
    <row r="108" spans="1:15" ht="14.25" customHeight="1" x14ac:dyDescent="0.35">
      <c r="A108" s="4"/>
      <c r="E108" s="5"/>
      <c r="F108" s="5"/>
    </row>
    <row r="109" spans="1:15" ht="14.25" customHeight="1" x14ac:dyDescent="0.35">
      <c r="A109" s="4"/>
      <c r="E109" s="5"/>
      <c r="F109" s="5"/>
    </row>
    <row r="110" spans="1:15" ht="14.25" customHeight="1" x14ac:dyDescent="0.35">
      <c r="A110" s="4"/>
      <c r="E110" s="5"/>
      <c r="F110" s="5"/>
    </row>
    <row r="111" spans="1:15" ht="14.25" customHeight="1" x14ac:dyDescent="0.35">
      <c r="A111" s="4"/>
      <c r="E111" s="5"/>
      <c r="F111" s="5"/>
    </row>
    <row r="112" spans="1:15" ht="14.25" customHeight="1" x14ac:dyDescent="0.35">
      <c r="A112" s="4"/>
      <c r="E112" s="5"/>
      <c r="F112" s="5"/>
    </row>
    <row r="113" spans="1:6" ht="14.25" customHeight="1" x14ac:dyDescent="0.35">
      <c r="A113" s="4"/>
      <c r="E113" s="5"/>
      <c r="F113" s="5"/>
    </row>
    <row r="114" spans="1:6" ht="14.25" customHeight="1" x14ac:dyDescent="0.35">
      <c r="A114" s="4"/>
      <c r="E114" s="5"/>
      <c r="F114" s="5"/>
    </row>
    <row r="115" spans="1:6" ht="14.25" customHeight="1" x14ac:dyDescent="0.35">
      <c r="A115" s="4"/>
      <c r="E115" s="5"/>
      <c r="F115" s="5"/>
    </row>
    <row r="116" spans="1:6" ht="14.25" customHeight="1" x14ac:dyDescent="0.35">
      <c r="A116" s="4"/>
      <c r="E116" s="5"/>
      <c r="F116" s="5"/>
    </row>
    <row r="117" spans="1:6" ht="14.25" customHeight="1" x14ac:dyDescent="0.35">
      <c r="A117" s="4"/>
      <c r="E117" s="5"/>
      <c r="F117" s="5"/>
    </row>
    <row r="118" spans="1:6" ht="14.25" customHeight="1" x14ac:dyDescent="0.35">
      <c r="A118" s="4"/>
      <c r="E118" s="5"/>
      <c r="F118" s="5"/>
    </row>
    <row r="119" spans="1:6" ht="14.25" customHeight="1" x14ac:dyDescent="0.35">
      <c r="A119" s="4"/>
      <c r="E119" s="5"/>
      <c r="F119" s="5"/>
    </row>
    <row r="120" spans="1:6" ht="14.25" customHeight="1" x14ac:dyDescent="0.35">
      <c r="A120" s="4"/>
      <c r="E120" s="5"/>
      <c r="F120" s="5"/>
    </row>
    <row r="121" spans="1:6" ht="14.25" customHeight="1" x14ac:dyDescent="0.35">
      <c r="A121" s="4"/>
      <c r="E121" s="5"/>
      <c r="F121" s="5"/>
    </row>
    <row r="122" spans="1:6" ht="14.25" customHeight="1" x14ac:dyDescent="0.35">
      <c r="A122" s="4"/>
      <c r="E122" s="5"/>
      <c r="F122" s="5"/>
    </row>
    <row r="123" spans="1:6" ht="14.25" customHeight="1" x14ac:dyDescent="0.35">
      <c r="A123" s="4"/>
      <c r="E123" s="5"/>
      <c r="F123" s="5"/>
    </row>
    <row r="124" spans="1:6" ht="14.25" customHeight="1" x14ac:dyDescent="0.35">
      <c r="A124" s="4"/>
      <c r="E124" s="5"/>
      <c r="F124" s="5"/>
    </row>
    <row r="125" spans="1:6" ht="14.25" customHeight="1" x14ac:dyDescent="0.35">
      <c r="A125" s="4"/>
      <c r="E125" s="5"/>
      <c r="F125" s="5"/>
    </row>
    <row r="126" spans="1:6" ht="14.25" customHeight="1" x14ac:dyDescent="0.35">
      <c r="A126" s="4"/>
      <c r="E126" s="5"/>
      <c r="F126" s="5"/>
    </row>
    <row r="127" spans="1:6" ht="14.25" customHeight="1" x14ac:dyDescent="0.35">
      <c r="A127" s="4"/>
      <c r="E127" s="5"/>
      <c r="F127" s="5"/>
    </row>
    <row r="128" spans="1:6" ht="14.25" customHeight="1" x14ac:dyDescent="0.35">
      <c r="A128" s="4"/>
      <c r="E128" s="5"/>
      <c r="F128" s="5"/>
    </row>
    <row r="129" spans="1:6" ht="14.25" customHeight="1" x14ac:dyDescent="0.35">
      <c r="A129" s="4"/>
      <c r="E129" s="5"/>
      <c r="F129" s="5"/>
    </row>
    <row r="130" spans="1:6" ht="14.25" customHeight="1" x14ac:dyDescent="0.35">
      <c r="A130" s="4"/>
      <c r="E130" s="5"/>
      <c r="F130" s="5"/>
    </row>
    <row r="131" spans="1:6" ht="14.25" customHeight="1" x14ac:dyDescent="0.35">
      <c r="A131" s="4"/>
      <c r="E131" s="5"/>
      <c r="F131" s="5"/>
    </row>
    <row r="132" spans="1:6" ht="14.25" customHeight="1" x14ac:dyDescent="0.35">
      <c r="A132" s="4"/>
      <c r="E132" s="5"/>
      <c r="F132" s="5"/>
    </row>
    <row r="133" spans="1:6" ht="14.25" customHeight="1" x14ac:dyDescent="0.35">
      <c r="A133" s="4"/>
      <c r="E133" s="5"/>
      <c r="F133" s="5"/>
    </row>
    <row r="134" spans="1:6" ht="14.25" customHeight="1" x14ac:dyDescent="0.35">
      <c r="A134" s="4"/>
      <c r="E134" s="5"/>
      <c r="F134" s="5"/>
    </row>
    <row r="135" spans="1:6" ht="14.25" customHeight="1" x14ac:dyDescent="0.35">
      <c r="A135" s="4"/>
      <c r="E135" s="5"/>
      <c r="F135" s="5"/>
    </row>
    <row r="136" spans="1:6" ht="14.25" customHeight="1" x14ac:dyDescent="0.35">
      <c r="A136" s="4"/>
      <c r="E136" s="5"/>
      <c r="F136" s="5"/>
    </row>
    <row r="137" spans="1:6" ht="14.25" customHeight="1" x14ac:dyDescent="0.35">
      <c r="A137" s="4"/>
      <c r="E137" s="5"/>
      <c r="F137" s="5"/>
    </row>
    <row r="138" spans="1:6" ht="14.25" customHeight="1" x14ac:dyDescent="0.35">
      <c r="A138" s="4"/>
      <c r="E138" s="5"/>
      <c r="F138" s="5"/>
    </row>
    <row r="139" spans="1:6" ht="14.25" customHeight="1" x14ac:dyDescent="0.35">
      <c r="A139" s="4"/>
      <c r="E139" s="5"/>
      <c r="F139" s="5"/>
    </row>
    <row r="140" spans="1:6" ht="14.25" customHeight="1" x14ac:dyDescent="0.35">
      <c r="A140" s="4"/>
      <c r="E140" s="5"/>
      <c r="F140" s="5"/>
    </row>
    <row r="141" spans="1:6" ht="14.25" customHeight="1" x14ac:dyDescent="0.35">
      <c r="A141" s="4"/>
      <c r="E141" s="5"/>
      <c r="F141" s="5"/>
    </row>
    <row r="142" spans="1:6" ht="14.25" customHeight="1" x14ac:dyDescent="0.35">
      <c r="A142" s="4"/>
      <c r="E142" s="5"/>
      <c r="F142" s="5"/>
    </row>
    <row r="143" spans="1:6" ht="14.25" customHeight="1" x14ac:dyDescent="0.35">
      <c r="A143" s="4"/>
      <c r="E143" s="5"/>
      <c r="F143" s="5"/>
    </row>
    <row r="144" spans="1:6" ht="14.25" customHeight="1" x14ac:dyDescent="0.35">
      <c r="A144" s="4"/>
      <c r="E144" s="5"/>
      <c r="F144" s="5"/>
    </row>
    <row r="145" spans="1:6" ht="14.25" customHeight="1" x14ac:dyDescent="0.35">
      <c r="A145" s="4"/>
      <c r="E145" s="5"/>
      <c r="F145" s="5"/>
    </row>
    <row r="146" spans="1:6" ht="14.25" customHeight="1" x14ac:dyDescent="0.35">
      <c r="A146" s="4"/>
      <c r="E146" s="5"/>
      <c r="F146" s="5"/>
    </row>
    <row r="147" spans="1:6" ht="14.25" customHeight="1" x14ac:dyDescent="0.35">
      <c r="A147" s="4"/>
      <c r="E147" s="5"/>
      <c r="F147" s="5"/>
    </row>
    <row r="148" spans="1:6" ht="14.25" customHeight="1" x14ac:dyDescent="0.35">
      <c r="A148" s="4"/>
      <c r="E148" s="5"/>
      <c r="F148" s="5"/>
    </row>
    <row r="149" spans="1:6" ht="14.25" customHeight="1" x14ac:dyDescent="0.35">
      <c r="A149" s="4"/>
      <c r="E149" s="5"/>
      <c r="F149" s="5"/>
    </row>
    <row r="150" spans="1:6" ht="14.25" customHeight="1" x14ac:dyDescent="0.35">
      <c r="A150" s="4"/>
      <c r="E150" s="5"/>
      <c r="F150" s="5"/>
    </row>
    <row r="151" spans="1:6" ht="14.25" customHeight="1" x14ac:dyDescent="0.35">
      <c r="A151" s="4"/>
      <c r="E151" s="5"/>
      <c r="F151" s="5"/>
    </row>
    <row r="152" spans="1:6" ht="14.25" customHeight="1" x14ac:dyDescent="0.35">
      <c r="A152" s="4"/>
      <c r="E152" s="5"/>
      <c r="F152" s="5"/>
    </row>
    <row r="153" spans="1:6" ht="14.25" customHeight="1" x14ac:dyDescent="0.35">
      <c r="A153" s="4"/>
      <c r="E153" s="5"/>
      <c r="F153" s="5"/>
    </row>
    <row r="154" spans="1:6" ht="14.25" customHeight="1" x14ac:dyDescent="0.35">
      <c r="A154" s="4"/>
      <c r="E154" s="5"/>
      <c r="F154" s="5"/>
    </row>
    <row r="155" spans="1:6" ht="14.25" customHeight="1" x14ac:dyDescent="0.35">
      <c r="A155" s="4"/>
      <c r="E155" s="5"/>
      <c r="F155" s="5"/>
    </row>
    <row r="156" spans="1:6" ht="14.25" customHeight="1" x14ac:dyDescent="0.35">
      <c r="A156" s="4"/>
      <c r="E156" s="5"/>
      <c r="F156" s="5"/>
    </row>
    <row r="157" spans="1:6" ht="14.25" customHeight="1" x14ac:dyDescent="0.35">
      <c r="A157" s="4"/>
      <c r="E157" s="5"/>
      <c r="F157" s="5"/>
    </row>
    <row r="158" spans="1:6" ht="14.25" customHeight="1" x14ac:dyDescent="0.35">
      <c r="A158" s="4"/>
      <c r="E158" s="5"/>
      <c r="F158" s="5"/>
    </row>
    <row r="159" spans="1:6" ht="14.25" customHeight="1" x14ac:dyDescent="0.35">
      <c r="A159" s="4"/>
      <c r="E159" s="5"/>
      <c r="F159" s="5"/>
    </row>
    <row r="160" spans="1:6" ht="14.25" customHeight="1" x14ac:dyDescent="0.35">
      <c r="A160" s="4"/>
      <c r="E160" s="5"/>
      <c r="F160" s="5"/>
    </row>
    <row r="161" spans="1:6" ht="14.25" customHeight="1" x14ac:dyDescent="0.35">
      <c r="A161" s="4"/>
      <c r="E161" s="5"/>
      <c r="F161" s="5"/>
    </row>
    <row r="162" spans="1:6" ht="14.25" customHeight="1" x14ac:dyDescent="0.35">
      <c r="A162" s="4"/>
      <c r="E162" s="5"/>
      <c r="F162" s="5"/>
    </row>
    <row r="163" spans="1:6" ht="14.25" customHeight="1" x14ac:dyDescent="0.35">
      <c r="A163" s="4"/>
      <c r="E163" s="5"/>
      <c r="F163" s="5"/>
    </row>
    <row r="164" spans="1:6" ht="14.25" customHeight="1" x14ac:dyDescent="0.35">
      <c r="A164" s="4"/>
      <c r="E164" s="5"/>
      <c r="F164" s="5"/>
    </row>
    <row r="165" spans="1:6" ht="14.25" customHeight="1" x14ac:dyDescent="0.35">
      <c r="A165" s="4"/>
      <c r="E165" s="5"/>
      <c r="F165" s="5"/>
    </row>
    <row r="166" spans="1:6" ht="14.25" customHeight="1" x14ac:dyDescent="0.35">
      <c r="A166" s="4"/>
      <c r="E166" s="5"/>
      <c r="F166" s="5"/>
    </row>
    <row r="167" spans="1:6" ht="14.25" customHeight="1" x14ac:dyDescent="0.35">
      <c r="A167" s="4"/>
      <c r="E167" s="5"/>
      <c r="F167" s="5"/>
    </row>
    <row r="168" spans="1:6" ht="14.25" customHeight="1" x14ac:dyDescent="0.35">
      <c r="A168" s="4"/>
      <c r="E168" s="5"/>
      <c r="F168" s="5"/>
    </row>
    <row r="169" spans="1:6" ht="14.25" customHeight="1" x14ac:dyDescent="0.35">
      <c r="A169" s="4"/>
      <c r="E169" s="5"/>
      <c r="F169" s="5"/>
    </row>
    <row r="170" spans="1:6" ht="14.25" customHeight="1" x14ac:dyDescent="0.35">
      <c r="A170" s="4"/>
      <c r="E170" s="5"/>
      <c r="F170" s="5"/>
    </row>
    <row r="171" spans="1:6" ht="14.25" customHeight="1" x14ac:dyDescent="0.35">
      <c r="A171" s="4"/>
      <c r="E171" s="5"/>
      <c r="F171" s="5"/>
    </row>
    <row r="172" spans="1:6" ht="14.25" customHeight="1" x14ac:dyDescent="0.35">
      <c r="A172" s="4"/>
      <c r="E172" s="5"/>
      <c r="F172" s="5"/>
    </row>
    <row r="173" spans="1:6" ht="14.25" customHeight="1" x14ac:dyDescent="0.35">
      <c r="A173" s="4"/>
      <c r="E173" s="5"/>
      <c r="F173" s="5"/>
    </row>
    <row r="174" spans="1:6" ht="14.25" customHeight="1" x14ac:dyDescent="0.35">
      <c r="A174" s="4"/>
      <c r="E174" s="5"/>
      <c r="F174" s="5"/>
    </row>
    <row r="175" spans="1:6" ht="14.25" customHeight="1" x14ac:dyDescent="0.35">
      <c r="A175" s="4"/>
      <c r="E175" s="5"/>
      <c r="F175" s="5"/>
    </row>
    <row r="176" spans="1:6" ht="14.25" customHeight="1" x14ac:dyDescent="0.35">
      <c r="A176" s="4"/>
      <c r="E176" s="5"/>
      <c r="F176" s="5"/>
    </row>
    <row r="177" spans="1:6" ht="14.25" customHeight="1" x14ac:dyDescent="0.35">
      <c r="A177" s="4"/>
      <c r="E177" s="5"/>
      <c r="F177" s="5"/>
    </row>
    <row r="178" spans="1:6" ht="14.25" customHeight="1" x14ac:dyDescent="0.35">
      <c r="A178" s="4"/>
      <c r="E178" s="5"/>
      <c r="F178" s="5"/>
    </row>
    <row r="179" spans="1:6" ht="14.25" customHeight="1" x14ac:dyDescent="0.35">
      <c r="A179" s="4"/>
      <c r="E179" s="5"/>
      <c r="F179" s="5"/>
    </row>
    <row r="180" spans="1:6" ht="14.25" customHeight="1" x14ac:dyDescent="0.35">
      <c r="A180" s="4"/>
      <c r="E180" s="5"/>
      <c r="F180" s="5"/>
    </row>
    <row r="181" spans="1:6" ht="14.25" customHeight="1" x14ac:dyDescent="0.35">
      <c r="A181" s="4"/>
      <c r="E181" s="5"/>
      <c r="F181" s="5"/>
    </row>
    <row r="182" spans="1:6" ht="14.25" customHeight="1" x14ac:dyDescent="0.35">
      <c r="A182" s="4"/>
      <c r="E182" s="5"/>
      <c r="F182" s="5"/>
    </row>
    <row r="183" spans="1:6" ht="14.25" customHeight="1" x14ac:dyDescent="0.35">
      <c r="A183" s="4"/>
      <c r="E183" s="5"/>
      <c r="F183" s="5"/>
    </row>
    <row r="184" spans="1:6" ht="14.25" customHeight="1" x14ac:dyDescent="0.35">
      <c r="A184" s="4"/>
      <c r="E184" s="5"/>
      <c r="F184" s="5"/>
    </row>
    <row r="185" spans="1:6" ht="14.25" customHeight="1" x14ac:dyDescent="0.35">
      <c r="A185" s="4"/>
      <c r="E185" s="5"/>
      <c r="F185" s="5"/>
    </row>
    <row r="186" spans="1:6" ht="14.25" customHeight="1" x14ac:dyDescent="0.35">
      <c r="A186" s="4"/>
      <c r="E186" s="5"/>
      <c r="F186" s="5"/>
    </row>
    <row r="187" spans="1:6" ht="14.25" customHeight="1" x14ac:dyDescent="0.35">
      <c r="A187" s="4"/>
      <c r="E187" s="5"/>
      <c r="F187" s="5"/>
    </row>
    <row r="188" spans="1:6" ht="14.25" customHeight="1" x14ac:dyDescent="0.35">
      <c r="A188" s="4"/>
      <c r="E188" s="5"/>
      <c r="F188" s="5"/>
    </row>
    <row r="189" spans="1:6" ht="14.25" customHeight="1" x14ac:dyDescent="0.35">
      <c r="A189" s="4"/>
      <c r="E189" s="5"/>
      <c r="F189" s="5"/>
    </row>
    <row r="190" spans="1:6" ht="14.25" customHeight="1" x14ac:dyDescent="0.35">
      <c r="A190" s="4"/>
      <c r="E190" s="5"/>
      <c r="F190" s="5"/>
    </row>
    <row r="191" spans="1:6" ht="14.25" customHeight="1" x14ac:dyDescent="0.35">
      <c r="A191" s="4"/>
      <c r="E191" s="5"/>
      <c r="F191" s="5"/>
    </row>
    <row r="192" spans="1:6" ht="14.25" customHeight="1" x14ac:dyDescent="0.35">
      <c r="A192" s="4"/>
      <c r="E192" s="5"/>
      <c r="F192" s="5"/>
    </row>
    <row r="193" spans="1:6" ht="14.25" customHeight="1" x14ac:dyDescent="0.35">
      <c r="A193" s="4"/>
      <c r="E193" s="5"/>
      <c r="F193" s="5"/>
    </row>
    <row r="194" spans="1:6" ht="14.25" customHeight="1" x14ac:dyDescent="0.35">
      <c r="A194" s="4"/>
      <c r="E194" s="5"/>
      <c r="F194" s="5"/>
    </row>
    <row r="195" spans="1:6" ht="14.25" customHeight="1" x14ac:dyDescent="0.35">
      <c r="A195" s="4"/>
      <c r="E195" s="5"/>
      <c r="F195" s="5"/>
    </row>
    <row r="196" spans="1:6" ht="14.25" customHeight="1" x14ac:dyDescent="0.35">
      <c r="A196" s="4"/>
      <c r="E196" s="5"/>
      <c r="F196" s="5"/>
    </row>
    <row r="197" spans="1:6" ht="14.25" customHeight="1" x14ac:dyDescent="0.35">
      <c r="A197" s="4"/>
      <c r="E197" s="5"/>
      <c r="F197" s="5"/>
    </row>
    <row r="198" spans="1:6" ht="14.25" customHeight="1" x14ac:dyDescent="0.35">
      <c r="A198" s="4"/>
      <c r="E198" s="5"/>
      <c r="F198" s="5"/>
    </row>
    <row r="199" spans="1:6" ht="14.25" customHeight="1" x14ac:dyDescent="0.35">
      <c r="A199" s="4"/>
      <c r="E199" s="5"/>
      <c r="F199" s="5"/>
    </row>
    <row r="200" spans="1:6" ht="14.25" customHeight="1" x14ac:dyDescent="0.35">
      <c r="A200" s="4"/>
      <c r="E200" s="5"/>
      <c r="F200" s="5"/>
    </row>
    <row r="201" spans="1:6" ht="14.25" customHeight="1" x14ac:dyDescent="0.35">
      <c r="A201" s="4"/>
      <c r="E201" s="5"/>
      <c r="F201" s="5"/>
    </row>
    <row r="202" spans="1:6" ht="14.25" customHeight="1" x14ac:dyDescent="0.35">
      <c r="A202" s="4"/>
      <c r="E202" s="5"/>
      <c r="F202" s="5"/>
    </row>
    <row r="203" spans="1:6" ht="14.25" customHeight="1" x14ac:dyDescent="0.35">
      <c r="A203" s="4"/>
      <c r="E203" s="5"/>
      <c r="F203" s="5"/>
    </row>
    <row r="204" spans="1:6" ht="14.25" customHeight="1" x14ac:dyDescent="0.35">
      <c r="A204" s="4"/>
      <c r="E204" s="5"/>
      <c r="F204" s="5"/>
    </row>
    <row r="205" spans="1:6" ht="14.25" customHeight="1" x14ac:dyDescent="0.35">
      <c r="A205" s="4"/>
      <c r="E205" s="5"/>
      <c r="F205" s="5"/>
    </row>
    <row r="206" spans="1:6" ht="14.25" customHeight="1" x14ac:dyDescent="0.35">
      <c r="A206" s="4"/>
      <c r="E206" s="5"/>
      <c r="F206" s="5"/>
    </row>
    <row r="207" spans="1:6" ht="14.25" customHeight="1" x14ac:dyDescent="0.35">
      <c r="A207" s="4"/>
      <c r="E207" s="5"/>
      <c r="F207" s="5"/>
    </row>
    <row r="208" spans="1:6" ht="14.25" customHeight="1" x14ac:dyDescent="0.35">
      <c r="A208" s="4"/>
      <c r="E208" s="5"/>
      <c r="F208" s="5"/>
    </row>
    <row r="209" spans="1:6" ht="14.25" customHeight="1" x14ac:dyDescent="0.35">
      <c r="A209" s="4"/>
      <c r="E209" s="5"/>
      <c r="F209" s="5"/>
    </row>
    <row r="210" spans="1:6" ht="14.25" customHeight="1" x14ac:dyDescent="0.35">
      <c r="A210" s="4"/>
      <c r="E210" s="5"/>
      <c r="F210" s="5"/>
    </row>
    <row r="211" spans="1:6" ht="14.25" customHeight="1" x14ac:dyDescent="0.35">
      <c r="A211" s="4"/>
      <c r="E211" s="5"/>
      <c r="F211" s="5"/>
    </row>
    <row r="212" spans="1:6" ht="14.25" customHeight="1" x14ac:dyDescent="0.35">
      <c r="A212" s="4"/>
      <c r="E212" s="5"/>
      <c r="F212" s="5"/>
    </row>
    <row r="213" spans="1:6" ht="14.25" customHeight="1" x14ac:dyDescent="0.35">
      <c r="A213" s="4"/>
      <c r="E213" s="5"/>
      <c r="F213" s="5"/>
    </row>
    <row r="214" spans="1:6" ht="14.25" customHeight="1" x14ac:dyDescent="0.35">
      <c r="A214" s="4"/>
      <c r="E214" s="5"/>
      <c r="F214" s="5"/>
    </row>
    <row r="215" spans="1:6" ht="14.25" customHeight="1" x14ac:dyDescent="0.35">
      <c r="A215" s="4"/>
      <c r="E215" s="5"/>
      <c r="F215" s="5"/>
    </row>
    <row r="216" spans="1:6" ht="14.25" customHeight="1" x14ac:dyDescent="0.35">
      <c r="A216" s="4"/>
      <c r="E216" s="5"/>
      <c r="F216" s="5"/>
    </row>
    <row r="217" spans="1:6" ht="14.25" customHeight="1" x14ac:dyDescent="0.35">
      <c r="A217" s="4"/>
      <c r="E217" s="5"/>
      <c r="F217" s="5"/>
    </row>
    <row r="218" spans="1:6" ht="14.25" customHeight="1" x14ac:dyDescent="0.35">
      <c r="A218" s="4"/>
      <c r="E218" s="5"/>
      <c r="F218" s="5"/>
    </row>
    <row r="219" spans="1:6" ht="14.25" customHeight="1" x14ac:dyDescent="0.35">
      <c r="A219" s="4"/>
      <c r="E219" s="5"/>
      <c r="F219" s="5"/>
    </row>
    <row r="220" spans="1:6" ht="14.25" customHeight="1" x14ac:dyDescent="0.35">
      <c r="A220" s="4"/>
      <c r="E220" s="5"/>
      <c r="F220" s="5"/>
    </row>
    <row r="221" spans="1:6" ht="14.25" customHeight="1" x14ac:dyDescent="0.35">
      <c r="A221" s="4"/>
      <c r="E221" s="5"/>
      <c r="F221" s="5"/>
    </row>
    <row r="222" spans="1:6" ht="14.25" customHeight="1" x14ac:dyDescent="0.35">
      <c r="A222" s="4"/>
      <c r="E222" s="5"/>
      <c r="F222" s="5"/>
    </row>
    <row r="223" spans="1:6" ht="14.25" customHeight="1" x14ac:dyDescent="0.35">
      <c r="A223" s="4"/>
      <c r="E223" s="5"/>
      <c r="F223" s="5"/>
    </row>
    <row r="224" spans="1:6" ht="14.25" customHeight="1" x14ac:dyDescent="0.35">
      <c r="A224" s="4"/>
      <c r="E224" s="5"/>
      <c r="F224" s="5"/>
    </row>
    <row r="225" spans="1:6" ht="14.25" customHeight="1" x14ac:dyDescent="0.35">
      <c r="A225" s="4"/>
      <c r="E225" s="5"/>
      <c r="F225" s="5"/>
    </row>
    <row r="226" spans="1:6" ht="14.25" customHeight="1" x14ac:dyDescent="0.35">
      <c r="A226" s="4"/>
      <c r="E226" s="5"/>
      <c r="F226" s="5"/>
    </row>
    <row r="227" spans="1:6" ht="14.25" customHeight="1" x14ac:dyDescent="0.35">
      <c r="A227" s="4"/>
      <c r="E227" s="5"/>
      <c r="F227" s="5"/>
    </row>
    <row r="228" spans="1:6" ht="14.25" customHeight="1" x14ac:dyDescent="0.35">
      <c r="A228" s="4"/>
      <c r="E228" s="5"/>
      <c r="F228" s="5"/>
    </row>
    <row r="229" spans="1:6" ht="14.25" customHeight="1" x14ac:dyDescent="0.35">
      <c r="A229" s="4"/>
      <c r="E229" s="5"/>
      <c r="F229" s="5"/>
    </row>
    <row r="230" spans="1:6" ht="14.25" customHeight="1" x14ac:dyDescent="0.35">
      <c r="A230" s="4"/>
      <c r="E230" s="5"/>
      <c r="F230" s="5"/>
    </row>
    <row r="231" spans="1:6" ht="14.25" customHeight="1" x14ac:dyDescent="0.35">
      <c r="A231" s="4"/>
      <c r="E231" s="5"/>
      <c r="F231" s="5"/>
    </row>
    <row r="232" spans="1:6" ht="14.25" customHeight="1" x14ac:dyDescent="0.35">
      <c r="A232" s="4"/>
      <c r="E232" s="5"/>
      <c r="F232" s="5"/>
    </row>
    <row r="233" spans="1:6" ht="14.25" customHeight="1" x14ac:dyDescent="0.35">
      <c r="A233" s="4"/>
      <c r="E233" s="5"/>
      <c r="F233" s="5"/>
    </row>
    <row r="234" spans="1:6" ht="14.25" customHeight="1" x14ac:dyDescent="0.35">
      <c r="A234" s="4"/>
      <c r="E234" s="5"/>
      <c r="F234" s="5"/>
    </row>
    <row r="235" spans="1:6" ht="14.25" customHeight="1" x14ac:dyDescent="0.35">
      <c r="A235" s="4"/>
      <c r="E235" s="5"/>
      <c r="F235" s="5"/>
    </row>
    <row r="236" spans="1:6" ht="14.25" customHeight="1" x14ac:dyDescent="0.35">
      <c r="A236" s="4"/>
      <c r="E236" s="5"/>
      <c r="F236" s="5"/>
    </row>
    <row r="237" spans="1:6" ht="14.25" customHeight="1" x14ac:dyDescent="0.35">
      <c r="A237" s="4"/>
      <c r="E237" s="5"/>
      <c r="F237" s="5"/>
    </row>
    <row r="238" spans="1:6" ht="14.25" customHeight="1" x14ac:dyDescent="0.35">
      <c r="A238" s="4"/>
      <c r="E238" s="5"/>
      <c r="F238" s="5"/>
    </row>
    <row r="239" spans="1:6" ht="14.25" customHeight="1" x14ac:dyDescent="0.35">
      <c r="A239" s="4"/>
      <c r="E239" s="5"/>
      <c r="F239" s="5"/>
    </row>
    <row r="240" spans="1:6" ht="14.25" customHeight="1" x14ac:dyDescent="0.35">
      <c r="A240" s="4"/>
      <c r="E240" s="5"/>
      <c r="F240" s="5"/>
    </row>
    <row r="241" spans="1:6" ht="14.25" customHeight="1" x14ac:dyDescent="0.35">
      <c r="A241" s="4"/>
      <c r="E241" s="5"/>
      <c r="F241" s="5"/>
    </row>
    <row r="242" spans="1:6" ht="14.25" customHeight="1" x14ac:dyDescent="0.35">
      <c r="A242" s="4"/>
      <c r="E242" s="5"/>
      <c r="F242" s="5"/>
    </row>
    <row r="243" spans="1:6" ht="14.25" customHeight="1" x14ac:dyDescent="0.35">
      <c r="A243" s="4"/>
      <c r="E243" s="5"/>
      <c r="F243" s="5"/>
    </row>
    <row r="244" spans="1:6" ht="14.25" customHeight="1" x14ac:dyDescent="0.35">
      <c r="A244" s="4"/>
      <c r="E244" s="5"/>
      <c r="F244" s="5"/>
    </row>
    <row r="245" spans="1:6" ht="14.25" customHeight="1" x14ac:dyDescent="0.35">
      <c r="A245" s="4"/>
      <c r="E245" s="5"/>
      <c r="F245" s="5"/>
    </row>
    <row r="246" spans="1:6" ht="14.25" customHeight="1" x14ac:dyDescent="0.35">
      <c r="A246" s="4"/>
      <c r="E246" s="5"/>
      <c r="F246" s="5"/>
    </row>
    <row r="247" spans="1:6" ht="14.25" customHeight="1" x14ac:dyDescent="0.35">
      <c r="A247" s="4"/>
      <c r="E247" s="5"/>
      <c r="F247" s="5"/>
    </row>
    <row r="248" spans="1:6" ht="14.25" customHeight="1" x14ac:dyDescent="0.35">
      <c r="A248" s="4"/>
      <c r="E248" s="5"/>
      <c r="F248" s="5"/>
    </row>
    <row r="249" spans="1:6" ht="14.25" customHeight="1" x14ac:dyDescent="0.35">
      <c r="A249" s="4"/>
      <c r="E249" s="5"/>
      <c r="F249" s="5"/>
    </row>
    <row r="250" spans="1:6" ht="14.25" customHeight="1" x14ac:dyDescent="0.35">
      <c r="A250" s="4"/>
      <c r="E250" s="5"/>
      <c r="F250" s="5"/>
    </row>
    <row r="251" spans="1:6" ht="14.25" customHeight="1" x14ac:dyDescent="0.35">
      <c r="A251" s="4"/>
      <c r="E251" s="5"/>
      <c r="F251" s="5"/>
    </row>
    <row r="252" spans="1:6" ht="14.25" customHeight="1" x14ac:dyDescent="0.35">
      <c r="A252" s="4"/>
      <c r="E252" s="5"/>
      <c r="F252" s="5"/>
    </row>
    <row r="253" spans="1:6" ht="14.25" customHeight="1" x14ac:dyDescent="0.35">
      <c r="A253" s="4"/>
      <c r="E253" s="5"/>
      <c r="F253" s="5"/>
    </row>
    <row r="254" spans="1:6" ht="14.25" customHeight="1" x14ac:dyDescent="0.35">
      <c r="A254" s="4"/>
      <c r="E254" s="5"/>
      <c r="F254" s="5"/>
    </row>
    <row r="255" spans="1:6" ht="14.25" customHeight="1" x14ac:dyDescent="0.35">
      <c r="A255" s="4"/>
      <c r="E255" s="5"/>
      <c r="F255" s="5"/>
    </row>
    <row r="256" spans="1:6" ht="14.25" customHeight="1" x14ac:dyDescent="0.35">
      <c r="A256" s="4"/>
      <c r="E256" s="5"/>
      <c r="F256" s="5"/>
    </row>
    <row r="257" spans="1:6" ht="14.25" customHeight="1" x14ac:dyDescent="0.35">
      <c r="A257" s="4"/>
      <c r="E257" s="5"/>
      <c r="F257" s="5"/>
    </row>
    <row r="258" spans="1:6" ht="14.25" customHeight="1" x14ac:dyDescent="0.35">
      <c r="A258" s="4"/>
      <c r="E258" s="5"/>
      <c r="F258" s="5"/>
    </row>
    <row r="259" spans="1:6" ht="14.25" customHeight="1" x14ac:dyDescent="0.35">
      <c r="A259" s="4"/>
      <c r="E259" s="5"/>
      <c r="F259" s="5"/>
    </row>
    <row r="260" spans="1:6" ht="14.25" customHeight="1" x14ac:dyDescent="0.35">
      <c r="A260" s="4"/>
      <c r="E260" s="5"/>
      <c r="F260" s="5"/>
    </row>
    <row r="261" spans="1:6" ht="14.25" customHeight="1" x14ac:dyDescent="0.35">
      <c r="A261" s="4"/>
      <c r="E261" s="5"/>
      <c r="F261" s="5"/>
    </row>
    <row r="262" spans="1:6" ht="14.25" customHeight="1" x14ac:dyDescent="0.35">
      <c r="A262" s="4"/>
      <c r="E262" s="5"/>
      <c r="F262" s="5"/>
    </row>
    <row r="263" spans="1:6" ht="14.25" customHeight="1" x14ac:dyDescent="0.35">
      <c r="A263" s="4"/>
      <c r="E263" s="5"/>
      <c r="F263" s="5"/>
    </row>
    <row r="264" spans="1:6" ht="14.25" customHeight="1" x14ac:dyDescent="0.35">
      <c r="A264" s="4"/>
      <c r="E264" s="5"/>
      <c r="F264" s="5"/>
    </row>
    <row r="265" spans="1:6" ht="14.25" customHeight="1" x14ac:dyDescent="0.35">
      <c r="A265" s="4"/>
      <c r="E265" s="5"/>
      <c r="F265" s="5"/>
    </row>
    <row r="266" spans="1:6" ht="14.25" customHeight="1" x14ac:dyDescent="0.35">
      <c r="A266" s="4"/>
      <c r="E266" s="5"/>
      <c r="F266" s="5"/>
    </row>
    <row r="267" spans="1:6" ht="14.25" customHeight="1" x14ac:dyDescent="0.35">
      <c r="A267" s="4"/>
      <c r="E267" s="5"/>
      <c r="F267" s="5"/>
    </row>
    <row r="268" spans="1:6" ht="14.25" customHeight="1" x14ac:dyDescent="0.35">
      <c r="A268" s="4"/>
      <c r="E268" s="5"/>
      <c r="F268" s="5"/>
    </row>
    <row r="269" spans="1:6" ht="14.25" customHeight="1" x14ac:dyDescent="0.35">
      <c r="A269" s="4"/>
      <c r="E269" s="5"/>
      <c r="F269" s="5"/>
    </row>
    <row r="270" spans="1:6" ht="14.25" customHeight="1" x14ac:dyDescent="0.35">
      <c r="A270" s="4"/>
      <c r="E270" s="5"/>
      <c r="F270" s="5"/>
    </row>
    <row r="271" spans="1:6" ht="14.25" customHeight="1" x14ac:dyDescent="0.35">
      <c r="A271" s="4"/>
      <c r="E271" s="5"/>
      <c r="F271" s="5"/>
    </row>
    <row r="272" spans="1:6" ht="14.25" customHeight="1" x14ac:dyDescent="0.35">
      <c r="A272" s="4"/>
      <c r="E272" s="5"/>
      <c r="F272" s="5"/>
    </row>
    <row r="273" spans="1:6" ht="14.25" customHeight="1" x14ac:dyDescent="0.35">
      <c r="A273" s="4"/>
      <c r="E273" s="5"/>
      <c r="F273" s="5"/>
    </row>
    <row r="274" spans="1:6" ht="14.25" customHeight="1" x14ac:dyDescent="0.35">
      <c r="A274" s="4"/>
      <c r="E274" s="5"/>
      <c r="F274" s="5"/>
    </row>
    <row r="275" spans="1:6" ht="14.25" customHeight="1" x14ac:dyDescent="0.35">
      <c r="A275" s="4"/>
      <c r="E275" s="5"/>
      <c r="F275" s="5"/>
    </row>
    <row r="276" spans="1:6" ht="14.25" customHeight="1" x14ac:dyDescent="0.35">
      <c r="A276" s="4"/>
      <c r="E276" s="5"/>
      <c r="F276" s="5"/>
    </row>
    <row r="277" spans="1:6" ht="14.25" customHeight="1" x14ac:dyDescent="0.35">
      <c r="A277" s="4"/>
      <c r="E277" s="5"/>
      <c r="F277" s="5"/>
    </row>
    <row r="278" spans="1:6" ht="14.25" customHeight="1" x14ac:dyDescent="0.35">
      <c r="A278" s="4"/>
      <c r="E278" s="5"/>
      <c r="F278" s="5"/>
    </row>
    <row r="279" spans="1:6" ht="14.25" customHeight="1" x14ac:dyDescent="0.35">
      <c r="A279" s="4"/>
      <c r="E279" s="5"/>
      <c r="F279" s="5"/>
    </row>
    <row r="280" spans="1:6" ht="14.25" customHeight="1" x14ac:dyDescent="0.35">
      <c r="A280" s="4"/>
      <c r="E280" s="5"/>
      <c r="F280" s="5"/>
    </row>
    <row r="281" spans="1:6" ht="14.25" customHeight="1" x14ac:dyDescent="0.35">
      <c r="A281" s="4"/>
      <c r="E281" s="5"/>
      <c r="F281" s="5"/>
    </row>
    <row r="282" spans="1:6" ht="14.25" customHeight="1" x14ac:dyDescent="0.35">
      <c r="A282" s="4"/>
      <c r="E282" s="5"/>
      <c r="F282" s="5"/>
    </row>
    <row r="283" spans="1:6" ht="14.25" customHeight="1" x14ac:dyDescent="0.35">
      <c r="A283" s="4"/>
      <c r="E283" s="5"/>
      <c r="F283" s="5"/>
    </row>
    <row r="284" spans="1:6" ht="14.25" customHeight="1" x14ac:dyDescent="0.35">
      <c r="A284" s="4"/>
      <c r="E284" s="5"/>
      <c r="F284" s="5"/>
    </row>
    <row r="285" spans="1:6" ht="14.25" customHeight="1" x14ac:dyDescent="0.35">
      <c r="A285" s="4"/>
      <c r="E285" s="5"/>
      <c r="F285" s="5"/>
    </row>
    <row r="286" spans="1:6" ht="14.25" customHeight="1" x14ac:dyDescent="0.35">
      <c r="A286" s="4"/>
      <c r="E286" s="5"/>
      <c r="F286" s="5"/>
    </row>
    <row r="287" spans="1:6" ht="14.25" customHeight="1" x14ac:dyDescent="0.35">
      <c r="A287" s="4"/>
      <c r="E287" s="5"/>
      <c r="F287" s="5"/>
    </row>
    <row r="288" spans="1:6" ht="14.25" customHeight="1" x14ac:dyDescent="0.35">
      <c r="A288" s="4"/>
      <c r="E288" s="5"/>
      <c r="F288" s="5"/>
    </row>
    <row r="289" spans="1:6" ht="14.25" customHeight="1" x14ac:dyDescent="0.35">
      <c r="A289" s="4"/>
      <c r="E289" s="5"/>
      <c r="F289" s="5"/>
    </row>
    <row r="290" spans="1:6" ht="14.25" customHeight="1" x14ac:dyDescent="0.35">
      <c r="A290" s="4"/>
      <c r="E290" s="5"/>
      <c r="F290" s="5"/>
    </row>
    <row r="291" spans="1:6" ht="14.25" customHeight="1" x14ac:dyDescent="0.35">
      <c r="A291" s="4"/>
      <c r="E291" s="5"/>
      <c r="F291" s="5"/>
    </row>
    <row r="292" spans="1:6" ht="14.25" customHeight="1" x14ac:dyDescent="0.35">
      <c r="A292" s="4"/>
      <c r="E292" s="5"/>
      <c r="F292" s="5"/>
    </row>
    <row r="293" spans="1:6" ht="14.25" customHeight="1" x14ac:dyDescent="0.35">
      <c r="A293" s="4"/>
      <c r="E293" s="5"/>
      <c r="F293" s="5"/>
    </row>
    <row r="294" spans="1:6" ht="14.25" customHeight="1" x14ac:dyDescent="0.35">
      <c r="A294" s="4"/>
      <c r="E294" s="5"/>
      <c r="F294" s="5"/>
    </row>
    <row r="295" spans="1:6" ht="14.25" customHeight="1" x14ac:dyDescent="0.35">
      <c r="A295" s="4"/>
      <c r="E295" s="5"/>
      <c r="F295" s="5"/>
    </row>
    <row r="296" spans="1:6" ht="14.25" customHeight="1" x14ac:dyDescent="0.35">
      <c r="A296" s="4"/>
      <c r="E296" s="5"/>
      <c r="F296" s="5"/>
    </row>
    <row r="297" spans="1:6" ht="14.25" customHeight="1" x14ac:dyDescent="0.35">
      <c r="A297" s="4"/>
      <c r="E297" s="5"/>
      <c r="F297" s="5"/>
    </row>
    <row r="298" spans="1:6" ht="14.25" customHeight="1" x14ac:dyDescent="0.35">
      <c r="A298" s="4"/>
      <c r="E298" s="5"/>
      <c r="F298" s="5"/>
    </row>
    <row r="299" spans="1:6" ht="14.25" customHeight="1" x14ac:dyDescent="0.35">
      <c r="A299" s="4"/>
      <c r="E299" s="5"/>
      <c r="F299" s="5"/>
    </row>
    <row r="300" spans="1:6" ht="14.25" customHeight="1" x14ac:dyDescent="0.35">
      <c r="A300" s="4"/>
      <c r="E300" s="5"/>
      <c r="F300" s="5"/>
    </row>
    <row r="301" spans="1:6" ht="14.25" customHeight="1" x14ac:dyDescent="0.35">
      <c r="A301" s="4"/>
      <c r="E301" s="5"/>
      <c r="F301" s="5"/>
    </row>
    <row r="302" spans="1:6" ht="14.25" customHeight="1" x14ac:dyDescent="0.35">
      <c r="A302" s="4"/>
      <c r="E302" s="5"/>
      <c r="F302" s="5"/>
    </row>
    <row r="303" spans="1:6" ht="14.25" customHeight="1" x14ac:dyDescent="0.35">
      <c r="A303" s="4"/>
      <c r="E303" s="5"/>
      <c r="F303" s="5"/>
    </row>
    <row r="304" spans="1:6" ht="14.25" customHeight="1" x14ac:dyDescent="0.35">
      <c r="A304" s="4"/>
      <c r="E304" s="5"/>
      <c r="F304" s="5"/>
    </row>
    <row r="305" spans="1:6" ht="14.25" customHeight="1" x14ac:dyDescent="0.35">
      <c r="A305" s="4"/>
      <c r="E305" s="5"/>
      <c r="F305" s="5"/>
    </row>
    <row r="306" spans="1:6" ht="14.25" customHeight="1" x14ac:dyDescent="0.35">
      <c r="A306" s="4"/>
      <c r="E306" s="5"/>
      <c r="F306" s="5"/>
    </row>
    <row r="307" spans="1:6" ht="14.25" customHeight="1" x14ac:dyDescent="0.35">
      <c r="A307" s="4"/>
      <c r="E307" s="5"/>
      <c r="F307" s="5"/>
    </row>
    <row r="308" spans="1:6" ht="14.25" customHeight="1" x14ac:dyDescent="0.35">
      <c r="A308" s="4"/>
      <c r="E308" s="5"/>
      <c r="F308" s="5"/>
    </row>
    <row r="309" spans="1:6" ht="14.25" customHeight="1" x14ac:dyDescent="0.35">
      <c r="A309" s="4"/>
      <c r="E309" s="5"/>
      <c r="F309" s="5"/>
    </row>
    <row r="310" spans="1:6" ht="14.25" customHeight="1" x14ac:dyDescent="0.35">
      <c r="A310" s="4"/>
      <c r="E310" s="5"/>
      <c r="F310" s="5"/>
    </row>
    <row r="311" spans="1:6" ht="14.25" customHeight="1" x14ac:dyDescent="0.35">
      <c r="A311" s="4"/>
      <c r="E311" s="5"/>
      <c r="F311" s="5"/>
    </row>
    <row r="312" spans="1:6" ht="14.25" customHeight="1" x14ac:dyDescent="0.35">
      <c r="A312" s="4"/>
      <c r="E312" s="5"/>
      <c r="F312" s="5"/>
    </row>
    <row r="313" spans="1:6" ht="14.25" customHeight="1" x14ac:dyDescent="0.35">
      <c r="A313" s="4"/>
      <c r="E313" s="5"/>
      <c r="F313" s="5"/>
    </row>
    <row r="314" spans="1:6" ht="14.25" customHeight="1" x14ac:dyDescent="0.35">
      <c r="A314" s="4"/>
      <c r="E314" s="5"/>
      <c r="F314" s="5"/>
    </row>
    <row r="315" spans="1:6" ht="14.25" customHeight="1" x14ac:dyDescent="0.35">
      <c r="A315" s="4"/>
      <c r="E315" s="5"/>
      <c r="F315" s="5"/>
    </row>
    <row r="316" spans="1:6" ht="14.25" customHeight="1" x14ac:dyDescent="0.35">
      <c r="A316" s="4"/>
      <c r="E316" s="5"/>
      <c r="F316" s="5"/>
    </row>
    <row r="317" spans="1:6" ht="14.25" customHeight="1" x14ac:dyDescent="0.35">
      <c r="A317" s="4"/>
      <c r="E317" s="5"/>
      <c r="F317" s="5"/>
    </row>
    <row r="318" spans="1:6" ht="14.25" customHeight="1" x14ac:dyDescent="0.35">
      <c r="A318" s="4"/>
      <c r="E318" s="5"/>
      <c r="F318" s="5"/>
    </row>
    <row r="319" spans="1:6" ht="14.25" customHeight="1" x14ac:dyDescent="0.35">
      <c r="A319" s="4"/>
      <c r="E319" s="5"/>
      <c r="F319" s="5"/>
    </row>
    <row r="320" spans="1:6" ht="14.25" customHeight="1" x14ac:dyDescent="0.35">
      <c r="A320" s="4"/>
      <c r="E320" s="5"/>
      <c r="F320" s="5"/>
    </row>
    <row r="321" spans="1:6" ht="14.25" customHeight="1" x14ac:dyDescent="0.35">
      <c r="A321" s="4"/>
      <c r="E321" s="5"/>
      <c r="F321" s="5"/>
    </row>
    <row r="322" spans="1:6" ht="14.25" customHeight="1" x14ac:dyDescent="0.35">
      <c r="A322" s="4"/>
      <c r="E322" s="5"/>
      <c r="F322" s="5"/>
    </row>
    <row r="323" spans="1:6" ht="14.25" customHeight="1" x14ac:dyDescent="0.35">
      <c r="A323" s="4"/>
      <c r="E323" s="5"/>
      <c r="F323" s="5"/>
    </row>
    <row r="324" spans="1:6" ht="14.25" customHeight="1" x14ac:dyDescent="0.35">
      <c r="A324" s="4"/>
      <c r="E324" s="5"/>
      <c r="F324" s="5"/>
    </row>
    <row r="325" spans="1:6" ht="14.25" customHeight="1" x14ac:dyDescent="0.35">
      <c r="A325" s="4"/>
      <c r="E325" s="5"/>
      <c r="F325" s="5"/>
    </row>
    <row r="326" spans="1:6" ht="14.25" customHeight="1" x14ac:dyDescent="0.35">
      <c r="A326" s="4"/>
      <c r="E326" s="5"/>
      <c r="F326" s="5"/>
    </row>
    <row r="327" spans="1:6" ht="14.25" customHeight="1" x14ac:dyDescent="0.35">
      <c r="A327" s="4"/>
      <c r="E327" s="5"/>
      <c r="F327" s="5"/>
    </row>
    <row r="328" spans="1:6" ht="14.25" customHeight="1" x14ac:dyDescent="0.35">
      <c r="A328" s="4"/>
      <c r="E328" s="5"/>
      <c r="F328" s="5"/>
    </row>
    <row r="329" spans="1:6" ht="14.25" customHeight="1" x14ac:dyDescent="0.35">
      <c r="A329" s="4"/>
      <c r="E329" s="5"/>
      <c r="F329" s="5"/>
    </row>
    <row r="330" spans="1:6" ht="14.25" customHeight="1" x14ac:dyDescent="0.35">
      <c r="A330" s="4"/>
      <c r="E330" s="5"/>
      <c r="F330" s="5"/>
    </row>
    <row r="331" spans="1:6" ht="14.25" customHeight="1" x14ac:dyDescent="0.35">
      <c r="A331" s="4"/>
      <c r="E331" s="5"/>
      <c r="F331" s="5"/>
    </row>
    <row r="332" spans="1:6" ht="14.25" customHeight="1" x14ac:dyDescent="0.35">
      <c r="A332" s="4"/>
      <c r="E332" s="5"/>
      <c r="F332" s="5"/>
    </row>
    <row r="333" spans="1:6" ht="14.25" customHeight="1" x14ac:dyDescent="0.35">
      <c r="A333" s="4"/>
      <c r="E333" s="5"/>
      <c r="F333" s="5"/>
    </row>
    <row r="334" spans="1:6" ht="14.25" customHeight="1" x14ac:dyDescent="0.35">
      <c r="A334" s="4"/>
      <c r="E334" s="5"/>
      <c r="F334" s="5"/>
    </row>
    <row r="335" spans="1:6" ht="14.25" customHeight="1" x14ac:dyDescent="0.35">
      <c r="A335" s="4"/>
      <c r="E335" s="5"/>
      <c r="F335" s="5"/>
    </row>
    <row r="336" spans="1:6" ht="14.25" customHeight="1" x14ac:dyDescent="0.35">
      <c r="A336" s="4"/>
      <c r="E336" s="5"/>
      <c r="F336" s="5"/>
    </row>
    <row r="337" spans="1:6" ht="14.25" customHeight="1" x14ac:dyDescent="0.35">
      <c r="A337" s="4"/>
      <c r="E337" s="5"/>
      <c r="F337" s="5"/>
    </row>
    <row r="338" spans="1:6" ht="14.25" customHeight="1" x14ac:dyDescent="0.35">
      <c r="A338" s="4"/>
      <c r="E338" s="5"/>
      <c r="F338" s="5"/>
    </row>
    <row r="339" spans="1:6" ht="14.25" customHeight="1" x14ac:dyDescent="0.35">
      <c r="A339" s="4"/>
      <c r="E339" s="5"/>
      <c r="F339" s="5"/>
    </row>
    <row r="340" spans="1:6" ht="14.25" customHeight="1" x14ac:dyDescent="0.35">
      <c r="A340" s="4"/>
      <c r="E340" s="5"/>
      <c r="F340" s="5"/>
    </row>
    <row r="341" spans="1:6" ht="14.25" customHeight="1" x14ac:dyDescent="0.35">
      <c r="A341" s="4"/>
      <c r="E341" s="5"/>
      <c r="F341" s="5"/>
    </row>
    <row r="342" spans="1:6" ht="14.25" customHeight="1" x14ac:dyDescent="0.35">
      <c r="A342" s="4"/>
      <c r="E342" s="5"/>
      <c r="F342" s="5"/>
    </row>
    <row r="343" spans="1:6" ht="14.25" customHeight="1" x14ac:dyDescent="0.35">
      <c r="A343" s="4"/>
      <c r="E343" s="5"/>
      <c r="F343" s="5"/>
    </row>
    <row r="344" spans="1:6" ht="14.25" customHeight="1" x14ac:dyDescent="0.35">
      <c r="A344" s="4"/>
      <c r="E344" s="5"/>
      <c r="F344" s="5"/>
    </row>
    <row r="345" spans="1:6" ht="14.25" customHeight="1" x14ac:dyDescent="0.35">
      <c r="A345" s="4"/>
      <c r="E345" s="5"/>
      <c r="F345" s="5"/>
    </row>
    <row r="346" spans="1:6" ht="14.25" customHeight="1" x14ac:dyDescent="0.35">
      <c r="A346" s="4"/>
      <c r="E346" s="5"/>
      <c r="F346" s="5"/>
    </row>
    <row r="347" spans="1:6" ht="14.25" customHeight="1" x14ac:dyDescent="0.35">
      <c r="A347" s="4"/>
      <c r="E347" s="5"/>
      <c r="F347" s="5"/>
    </row>
    <row r="348" spans="1:6" ht="14.25" customHeight="1" x14ac:dyDescent="0.35">
      <c r="A348" s="4"/>
      <c r="E348" s="5"/>
      <c r="F348" s="5"/>
    </row>
    <row r="349" spans="1:6" ht="14.25" customHeight="1" x14ac:dyDescent="0.35">
      <c r="A349" s="4"/>
      <c r="E349" s="5"/>
      <c r="F349" s="5"/>
    </row>
    <row r="350" spans="1:6" ht="14.25" customHeight="1" x14ac:dyDescent="0.35">
      <c r="A350" s="4"/>
      <c r="E350" s="5"/>
      <c r="F350" s="5"/>
    </row>
    <row r="351" spans="1:6" ht="14.25" customHeight="1" x14ac:dyDescent="0.35">
      <c r="A351" s="4"/>
      <c r="E351" s="5"/>
      <c r="F351" s="5"/>
    </row>
    <row r="352" spans="1:6" ht="14.25" customHeight="1" x14ac:dyDescent="0.35">
      <c r="A352" s="4"/>
      <c r="E352" s="5"/>
      <c r="F352" s="5"/>
    </row>
    <row r="353" spans="1:6" ht="14.25" customHeight="1" x14ac:dyDescent="0.35">
      <c r="A353" s="4"/>
      <c r="E353" s="5"/>
      <c r="F353" s="5"/>
    </row>
    <row r="354" spans="1:6" ht="14.25" customHeight="1" x14ac:dyDescent="0.35">
      <c r="A354" s="4"/>
      <c r="E354" s="5"/>
      <c r="F354" s="5"/>
    </row>
    <row r="355" spans="1:6" ht="14.25" customHeight="1" x14ac:dyDescent="0.35">
      <c r="A355" s="4"/>
      <c r="E355" s="5"/>
      <c r="F355" s="5"/>
    </row>
    <row r="356" spans="1:6" ht="14.25" customHeight="1" x14ac:dyDescent="0.35">
      <c r="A356" s="4"/>
      <c r="E356" s="5"/>
      <c r="F356" s="5"/>
    </row>
    <row r="357" spans="1:6" ht="14.25" customHeight="1" x14ac:dyDescent="0.35">
      <c r="A357" s="4"/>
      <c r="E357" s="5"/>
      <c r="F357" s="5"/>
    </row>
    <row r="358" spans="1:6" ht="14.25" customHeight="1" x14ac:dyDescent="0.35">
      <c r="A358" s="4"/>
      <c r="E358" s="5"/>
      <c r="F358" s="5"/>
    </row>
    <row r="359" spans="1:6" ht="14.25" customHeight="1" x14ac:dyDescent="0.35">
      <c r="A359" s="4"/>
      <c r="E359" s="5"/>
      <c r="F359" s="5"/>
    </row>
    <row r="360" spans="1:6" ht="14.25" customHeight="1" x14ac:dyDescent="0.35">
      <c r="A360" s="4"/>
      <c r="E360" s="5"/>
      <c r="F360" s="5"/>
    </row>
    <row r="361" spans="1:6" ht="14.25" customHeight="1" x14ac:dyDescent="0.35">
      <c r="A361" s="4"/>
      <c r="E361" s="5"/>
      <c r="F361" s="5"/>
    </row>
    <row r="362" spans="1:6" ht="14.25" customHeight="1" x14ac:dyDescent="0.35">
      <c r="A362" s="4"/>
      <c r="E362" s="5"/>
      <c r="F362" s="5"/>
    </row>
    <row r="363" spans="1:6" ht="14.25" customHeight="1" x14ac:dyDescent="0.35">
      <c r="A363" s="4"/>
      <c r="E363" s="5"/>
      <c r="F363" s="5"/>
    </row>
    <row r="364" spans="1:6" ht="14.25" customHeight="1" x14ac:dyDescent="0.35">
      <c r="A364" s="4"/>
      <c r="E364" s="5"/>
      <c r="F364" s="5"/>
    </row>
    <row r="365" spans="1:6" ht="14.25" customHeight="1" x14ac:dyDescent="0.35">
      <c r="A365" s="4"/>
      <c r="E365" s="5"/>
      <c r="F365" s="5"/>
    </row>
    <row r="366" spans="1:6" ht="14.25" customHeight="1" x14ac:dyDescent="0.35">
      <c r="A366" s="4"/>
      <c r="E366" s="5"/>
      <c r="F366" s="5"/>
    </row>
    <row r="367" spans="1:6" ht="14.25" customHeight="1" x14ac:dyDescent="0.35">
      <c r="A367" s="4"/>
      <c r="E367" s="5"/>
      <c r="F367" s="5"/>
    </row>
    <row r="368" spans="1:6" ht="14.25" customHeight="1" x14ac:dyDescent="0.35">
      <c r="A368" s="4"/>
      <c r="E368" s="5"/>
      <c r="F368" s="5"/>
    </row>
    <row r="369" spans="1:6" ht="14.25" customHeight="1" x14ac:dyDescent="0.35">
      <c r="A369" s="4"/>
      <c r="E369" s="5"/>
      <c r="F369" s="5"/>
    </row>
    <row r="370" spans="1:6" ht="14.25" customHeight="1" x14ac:dyDescent="0.35">
      <c r="A370" s="4"/>
      <c r="E370" s="5"/>
      <c r="F370" s="5"/>
    </row>
    <row r="371" spans="1:6" ht="14.25" customHeight="1" x14ac:dyDescent="0.35">
      <c r="A371" s="4"/>
      <c r="E371" s="5"/>
      <c r="F371" s="5"/>
    </row>
    <row r="372" spans="1:6" ht="14.25" customHeight="1" x14ac:dyDescent="0.35">
      <c r="A372" s="4"/>
      <c r="E372" s="5"/>
      <c r="F372" s="5"/>
    </row>
    <row r="373" spans="1:6" ht="14.25" customHeight="1" x14ac:dyDescent="0.35">
      <c r="A373" s="4"/>
      <c r="E373" s="5"/>
      <c r="F373" s="5"/>
    </row>
    <row r="374" spans="1:6" ht="14.25" customHeight="1" x14ac:dyDescent="0.35">
      <c r="A374" s="4"/>
      <c r="E374" s="5"/>
      <c r="F374" s="5"/>
    </row>
    <row r="375" spans="1:6" ht="14.25" customHeight="1" x14ac:dyDescent="0.35">
      <c r="A375" s="4"/>
      <c r="E375" s="5"/>
      <c r="F375" s="5"/>
    </row>
    <row r="376" spans="1:6" ht="14.25" customHeight="1" x14ac:dyDescent="0.35">
      <c r="A376" s="4"/>
      <c r="E376" s="5"/>
      <c r="F376" s="5"/>
    </row>
    <row r="377" spans="1:6" ht="14.25" customHeight="1" x14ac:dyDescent="0.35">
      <c r="A377" s="4"/>
      <c r="E377" s="5"/>
      <c r="F377" s="5"/>
    </row>
    <row r="378" spans="1:6" ht="14.25" customHeight="1" x14ac:dyDescent="0.35">
      <c r="A378" s="4"/>
      <c r="E378" s="5"/>
      <c r="F378" s="5"/>
    </row>
    <row r="379" spans="1:6" ht="14.25" customHeight="1" x14ac:dyDescent="0.35">
      <c r="A379" s="4"/>
      <c r="E379" s="5"/>
      <c r="F379" s="5"/>
    </row>
    <row r="380" spans="1:6" ht="14.25" customHeight="1" x14ac:dyDescent="0.35">
      <c r="A380" s="4"/>
      <c r="E380" s="5"/>
      <c r="F380" s="5"/>
    </row>
    <row r="381" spans="1:6" ht="14.25" customHeight="1" x14ac:dyDescent="0.35">
      <c r="A381" s="4"/>
      <c r="E381" s="5"/>
      <c r="F381" s="5"/>
    </row>
    <row r="382" spans="1:6" ht="14.25" customHeight="1" x14ac:dyDescent="0.35">
      <c r="A382" s="4"/>
      <c r="E382" s="5"/>
      <c r="F382" s="5"/>
    </row>
    <row r="383" spans="1:6" ht="14.25" customHeight="1" x14ac:dyDescent="0.35">
      <c r="A383" s="4"/>
      <c r="E383" s="5"/>
      <c r="F383" s="5"/>
    </row>
    <row r="384" spans="1:6" ht="14.25" customHeight="1" x14ac:dyDescent="0.35">
      <c r="A384" s="4"/>
      <c r="E384" s="5"/>
      <c r="F384" s="5"/>
    </row>
    <row r="385" spans="1:6" ht="14.25" customHeight="1" x14ac:dyDescent="0.35">
      <c r="A385" s="4"/>
      <c r="E385" s="5"/>
      <c r="F385" s="5"/>
    </row>
    <row r="386" spans="1:6" ht="14.25" customHeight="1" x14ac:dyDescent="0.35">
      <c r="A386" s="4"/>
      <c r="E386" s="5"/>
      <c r="F386" s="5"/>
    </row>
    <row r="387" spans="1:6" ht="14.25" customHeight="1" x14ac:dyDescent="0.35">
      <c r="A387" s="4"/>
      <c r="E387" s="5"/>
      <c r="F387" s="5"/>
    </row>
    <row r="388" spans="1:6" ht="14.25" customHeight="1" x14ac:dyDescent="0.35">
      <c r="A388" s="4"/>
      <c r="E388" s="5"/>
      <c r="F388" s="5"/>
    </row>
    <row r="389" spans="1:6" ht="14.25" customHeight="1" x14ac:dyDescent="0.35">
      <c r="A389" s="4"/>
      <c r="E389" s="5"/>
      <c r="F389" s="5"/>
    </row>
    <row r="390" spans="1:6" ht="14.25" customHeight="1" x14ac:dyDescent="0.35">
      <c r="A390" s="4"/>
      <c r="E390" s="5"/>
      <c r="F390" s="5"/>
    </row>
    <row r="391" spans="1:6" ht="14.25" customHeight="1" x14ac:dyDescent="0.35">
      <c r="A391" s="4"/>
      <c r="E391" s="5"/>
      <c r="F391" s="5"/>
    </row>
    <row r="392" spans="1:6" ht="14.25" customHeight="1" x14ac:dyDescent="0.35">
      <c r="A392" s="4"/>
      <c r="E392" s="5"/>
      <c r="F392" s="5"/>
    </row>
    <row r="393" spans="1:6" ht="14.25" customHeight="1" x14ac:dyDescent="0.35">
      <c r="A393" s="4"/>
      <c r="E393" s="5"/>
      <c r="F393" s="5"/>
    </row>
    <row r="394" spans="1:6" ht="14.25" customHeight="1" x14ac:dyDescent="0.35">
      <c r="A394" s="4"/>
      <c r="E394" s="5"/>
      <c r="F394" s="5"/>
    </row>
    <row r="395" spans="1:6" ht="14.25" customHeight="1" x14ac:dyDescent="0.35">
      <c r="A395" s="4"/>
      <c r="E395" s="5"/>
      <c r="F395" s="5"/>
    </row>
    <row r="396" spans="1:6" ht="14.25" customHeight="1" x14ac:dyDescent="0.35">
      <c r="A396" s="4"/>
      <c r="E396" s="5"/>
      <c r="F396" s="5"/>
    </row>
    <row r="397" spans="1:6" ht="14.25" customHeight="1" x14ac:dyDescent="0.35">
      <c r="A397" s="4"/>
      <c r="E397" s="5"/>
      <c r="F397" s="5"/>
    </row>
    <row r="398" spans="1:6" ht="14.25" customHeight="1" x14ac:dyDescent="0.35">
      <c r="A398" s="4"/>
      <c r="E398" s="5"/>
      <c r="F398" s="5"/>
    </row>
    <row r="399" spans="1:6" ht="14.25" customHeight="1" x14ac:dyDescent="0.35">
      <c r="A399" s="4"/>
      <c r="E399" s="5"/>
      <c r="F399" s="5"/>
    </row>
    <row r="400" spans="1:6" ht="14.25" customHeight="1" x14ac:dyDescent="0.35">
      <c r="A400" s="4"/>
      <c r="E400" s="5"/>
      <c r="F400" s="5"/>
    </row>
    <row r="401" spans="1:6" ht="14.25" customHeight="1" x14ac:dyDescent="0.35">
      <c r="A401" s="4"/>
      <c r="E401" s="5"/>
      <c r="F401" s="5"/>
    </row>
    <row r="402" spans="1:6" ht="14.25" customHeight="1" x14ac:dyDescent="0.35">
      <c r="A402" s="4"/>
      <c r="E402" s="5"/>
      <c r="F402" s="5"/>
    </row>
    <row r="403" spans="1:6" ht="14.25" customHeight="1" x14ac:dyDescent="0.35">
      <c r="A403" s="4"/>
      <c r="E403" s="5"/>
      <c r="F403" s="5"/>
    </row>
    <row r="404" spans="1:6" ht="14.25" customHeight="1" x14ac:dyDescent="0.35">
      <c r="A404" s="4"/>
      <c r="E404" s="5"/>
      <c r="F404" s="5"/>
    </row>
    <row r="405" spans="1:6" ht="14.25" customHeight="1" x14ac:dyDescent="0.35">
      <c r="A405" s="4"/>
      <c r="E405" s="5"/>
      <c r="F405" s="5"/>
    </row>
    <row r="406" spans="1:6" ht="14.25" customHeight="1" x14ac:dyDescent="0.35">
      <c r="A406" s="4"/>
      <c r="E406" s="5"/>
      <c r="F406" s="5"/>
    </row>
    <row r="407" spans="1:6" ht="14.25" customHeight="1" x14ac:dyDescent="0.35">
      <c r="A407" s="4"/>
      <c r="E407" s="5"/>
      <c r="F407" s="5"/>
    </row>
    <row r="408" spans="1:6" ht="14.25" customHeight="1" x14ac:dyDescent="0.35">
      <c r="A408" s="4"/>
      <c r="E408" s="5"/>
      <c r="F408" s="5"/>
    </row>
    <row r="409" spans="1:6" ht="14.25" customHeight="1" x14ac:dyDescent="0.35">
      <c r="A409" s="4"/>
      <c r="E409" s="5"/>
      <c r="F409" s="5"/>
    </row>
    <row r="410" spans="1:6" ht="14.25" customHeight="1" x14ac:dyDescent="0.35">
      <c r="A410" s="4"/>
      <c r="E410" s="5"/>
      <c r="F410" s="5"/>
    </row>
    <row r="411" spans="1:6" ht="14.25" customHeight="1" x14ac:dyDescent="0.35">
      <c r="A411" s="4"/>
      <c r="E411" s="5"/>
      <c r="F411" s="5"/>
    </row>
    <row r="412" spans="1:6" ht="14.25" customHeight="1" x14ac:dyDescent="0.35">
      <c r="A412" s="4"/>
      <c r="E412" s="5"/>
      <c r="F412" s="5"/>
    </row>
    <row r="413" spans="1:6" ht="14.25" customHeight="1" x14ac:dyDescent="0.35">
      <c r="A413" s="4"/>
      <c r="E413" s="5"/>
      <c r="F413" s="5"/>
    </row>
    <row r="414" spans="1:6" ht="14.25" customHeight="1" x14ac:dyDescent="0.35">
      <c r="A414" s="4"/>
      <c r="E414" s="5"/>
      <c r="F414" s="5"/>
    </row>
    <row r="415" spans="1:6" ht="14.25" customHeight="1" x14ac:dyDescent="0.35">
      <c r="A415" s="4"/>
      <c r="E415" s="5"/>
      <c r="F415" s="5"/>
    </row>
    <row r="416" spans="1:6" ht="14.25" customHeight="1" x14ac:dyDescent="0.35">
      <c r="A416" s="4"/>
      <c r="E416" s="5"/>
      <c r="F416" s="5"/>
    </row>
    <row r="417" spans="1:6" ht="14.25" customHeight="1" x14ac:dyDescent="0.35">
      <c r="A417" s="4"/>
      <c r="E417" s="5"/>
      <c r="F417" s="5"/>
    </row>
    <row r="418" spans="1:6" ht="14.25" customHeight="1" x14ac:dyDescent="0.35">
      <c r="A418" s="4"/>
      <c r="E418" s="5"/>
      <c r="F418" s="5"/>
    </row>
    <row r="419" spans="1:6" ht="14.25" customHeight="1" x14ac:dyDescent="0.35">
      <c r="A419" s="4"/>
      <c r="E419" s="5"/>
      <c r="F419" s="5"/>
    </row>
    <row r="420" spans="1:6" ht="14.25" customHeight="1" x14ac:dyDescent="0.35">
      <c r="A420" s="4"/>
      <c r="E420" s="5"/>
      <c r="F420" s="5"/>
    </row>
    <row r="421" spans="1:6" ht="14.25" customHeight="1" x14ac:dyDescent="0.35">
      <c r="A421" s="4"/>
      <c r="E421" s="5"/>
      <c r="F421" s="5"/>
    </row>
    <row r="422" spans="1:6" ht="14.25" customHeight="1" x14ac:dyDescent="0.35">
      <c r="A422" s="4"/>
      <c r="E422" s="5"/>
      <c r="F422" s="5"/>
    </row>
    <row r="423" spans="1:6" ht="14.25" customHeight="1" x14ac:dyDescent="0.35">
      <c r="A423" s="4"/>
      <c r="E423" s="5"/>
      <c r="F423" s="5"/>
    </row>
    <row r="424" spans="1:6" ht="14.25" customHeight="1" x14ac:dyDescent="0.35">
      <c r="A424" s="4"/>
      <c r="E424" s="5"/>
      <c r="F424" s="5"/>
    </row>
    <row r="425" spans="1:6" ht="14.25" customHeight="1" x14ac:dyDescent="0.35">
      <c r="A425" s="4"/>
      <c r="E425" s="5"/>
      <c r="F425" s="5"/>
    </row>
    <row r="426" spans="1:6" ht="14.25" customHeight="1" x14ac:dyDescent="0.35">
      <c r="A426" s="4"/>
      <c r="E426" s="5"/>
      <c r="F426" s="5"/>
    </row>
    <row r="427" spans="1:6" ht="14.25" customHeight="1" x14ac:dyDescent="0.35">
      <c r="A427" s="4"/>
      <c r="E427" s="5"/>
      <c r="F427" s="5"/>
    </row>
    <row r="428" spans="1:6" ht="14.25" customHeight="1" x14ac:dyDescent="0.35">
      <c r="A428" s="4"/>
      <c r="E428" s="5"/>
      <c r="F428" s="5"/>
    </row>
    <row r="429" spans="1:6" ht="14.25" customHeight="1" x14ac:dyDescent="0.35">
      <c r="A429" s="4"/>
      <c r="E429" s="5"/>
      <c r="F429" s="5"/>
    </row>
    <row r="430" spans="1:6" ht="14.25" customHeight="1" x14ac:dyDescent="0.35">
      <c r="A430" s="4"/>
      <c r="E430" s="5"/>
      <c r="F430" s="5"/>
    </row>
    <row r="431" spans="1:6" ht="14.25" customHeight="1" x14ac:dyDescent="0.35">
      <c r="A431" s="4"/>
      <c r="E431" s="5"/>
      <c r="F431" s="5"/>
    </row>
    <row r="432" spans="1:6" ht="14.25" customHeight="1" x14ac:dyDescent="0.35">
      <c r="A432" s="4"/>
      <c r="E432" s="5"/>
      <c r="F432" s="5"/>
    </row>
    <row r="433" spans="1:6" ht="14.25" customHeight="1" x14ac:dyDescent="0.35">
      <c r="A433" s="4"/>
      <c r="E433" s="5"/>
      <c r="F433" s="5"/>
    </row>
    <row r="434" spans="1:6" ht="14.25" customHeight="1" x14ac:dyDescent="0.35">
      <c r="A434" s="4"/>
      <c r="E434" s="5"/>
      <c r="F434" s="5"/>
    </row>
    <row r="435" spans="1:6" ht="14.25" customHeight="1" x14ac:dyDescent="0.35">
      <c r="A435" s="4"/>
      <c r="E435" s="5"/>
      <c r="F435" s="5"/>
    </row>
    <row r="436" spans="1:6" ht="14.25" customHeight="1" x14ac:dyDescent="0.35">
      <c r="A436" s="4"/>
      <c r="E436" s="5"/>
      <c r="F436" s="5"/>
    </row>
    <row r="437" spans="1:6" ht="14.25" customHeight="1" x14ac:dyDescent="0.35">
      <c r="A437" s="4"/>
      <c r="E437" s="5"/>
      <c r="F437" s="5"/>
    </row>
    <row r="438" spans="1:6" ht="14.25" customHeight="1" x14ac:dyDescent="0.35">
      <c r="A438" s="4"/>
      <c r="E438" s="5"/>
      <c r="F438" s="5"/>
    </row>
    <row r="439" spans="1:6" ht="14.25" customHeight="1" x14ac:dyDescent="0.35">
      <c r="A439" s="4"/>
      <c r="E439" s="5"/>
      <c r="F439" s="5"/>
    </row>
    <row r="440" spans="1:6" ht="14.25" customHeight="1" x14ac:dyDescent="0.35">
      <c r="A440" s="4"/>
      <c r="E440" s="5"/>
      <c r="F440" s="5"/>
    </row>
    <row r="441" spans="1:6" ht="14.25" customHeight="1" x14ac:dyDescent="0.35">
      <c r="A441" s="4"/>
      <c r="E441" s="5"/>
      <c r="F441" s="5"/>
    </row>
    <row r="442" spans="1:6" ht="14.25" customHeight="1" x14ac:dyDescent="0.35">
      <c r="A442" s="4"/>
      <c r="E442" s="5"/>
      <c r="F442" s="5"/>
    </row>
    <row r="443" spans="1:6" ht="14.25" customHeight="1" x14ac:dyDescent="0.35">
      <c r="A443" s="4"/>
      <c r="E443" s="5"/>
      <c r="F443" s="5"/>
    </row>
    <row r="444" spans="1:6" ht="14.25" customHeight="1" x14ac:dyDescent="0.35">
      <c r="A444" s="4"/>
      <c r="E444" s="5"/>
      <c r="F444" s="5"/>
    </row>
    <row r="445" spans="1:6" ht="14.25" customHeight="1" x14ac:dyDescent="0.35">
      <c r="A445" s="4"/>
      <c r="E445" s="5"/>
      <c r="F445" s="5"/>
    </row>
    <row r="446" spans="1:6" ht="14.25" customHeight="1" x14ac:dyDescent="0.35">
      <c r="A446" s="4"/>
      <c r="E446" s="5"/>
      <c r="F446" s="5"/>
    </row>
    <row r="447" spans="1:6" ht="14.25" customHeight="1" x14ac:dyDescent="0.35">
      <c r="A447" s="4"/>
      <c r="E447" s="5"/>
      <c r="F447" s="5"/>
    </row>
    <row r="448" spans="1:6" ht="14.25" customHeight="1" x14ac:dyDescent="0.35">
      <c r="A448" s="4"/>
      <c r="E448" s="5"/>
      <c r="F448" s="5"/>
    </row>
    <row r="449" spans="1:6" ht="14.25" customHeight="1" x14ac:dyDescent="0.35">
      <c r="A449" s="4"/>
      <c r="E449" s="5"/>
      <c r="F449" s="5"/>
    </row>
    <row r="450" spans="1:6" ht="14.25" customHeight="1" x14ac:dyDescent="0.35">
      <c r="A450" s="4"/>
      <c r="E450" s="5"/>
      <c r="F450" s="5"/>
    </row>
    <row r="451" spans="1:6" ht="14.25" customHeight="1" x14ac:dyDescent="0.35">
      <c r="A451" s="4"/>
      <c r="E451" s="5"/>
      <c r="F451" s="5"/>
    </row>
    <row r="452" spans="1:6" ht="14.25" customHeight="1" x14ac:dyDescent="0.35">
      <c r="A452" s="4"/>
      <c r="E452" s="5"/>
      <c r="F452" s="5"/>
    </row>
    <row r="453" spans="1:6" ht="14.25" customHeight="1" x14ac:dyDescent="0.35">
      <c r="A453" s="4"/>
      <c r="E453" s="5"/>
      <c r="F453" s="5"/>
    </row>
    <row r="454" spans="1:6" ht="14.25" customHeight="1" x14ac:dyDescent="0.35">
      <c r="A454" s="4"/>
      <c r="E454" s="5"/>
      <c r="F454" s="5"/>
    </row>
    <row r="455" spans="1:6" ht="14.25" customHeight="1" x14ac:dyDescent="0.35">
      <c r="A455" s="4"/>
      <c r="E455" s="5"/>
      <c r="F455" s="5"/>
    </row>
    <row r="456" spans="1:6" ht="14.25" customHeight="1" x14ac:dyDescent="0.35">
      <c r="A456" s="4"/>
      <c r="E456" s="5"/>
      <c r="F456" s="5"/>
    </row>
    <row r="457" spans="1:6" ht="14.25" customHeight="1" x14ac:dyDescent="0.35">
      <c r="A457" s="4"/>
      <c r="E457" s="5"/>
      <c r="F457" s="5"/>
    </row>
    <row r="458" spans="1:6" ht="14.25" customHeight="1" x14ac:dyDescent="0.35">
      <c r="A458" s="4"/>
      <c r="E458" s="5"/>
      <c r="F458" s="5"/>
    </row>
    <row r="459" spans="1:6" ht="14.25" customHeight="1" x14ac:dyDescent="0.35">
      <c r="A459" s="4"/>
      <c r="E459" s="5"/>
      <c r="F459" s="5"/>
    </row>
    <row r="460" spans="1:6" ht="14.25" customHeight="1" x14ac:dyDescent="0.35">
      <c r="A460" s="4"/>
      <c r="E460" s="5"/>
      <c r="F460" s="5"/>
    </row>
    <row r="461" spans="1:6" ht="14.25" customHeight="1" x14ac:dyDescent="0.35">
      <c r="A461" s="4"/>
      <c r="E461" s="5"/>
      <c r="F461" s="5"/>
    </row>
    <row r="462" spans="1:6" ht="14.25" customHeight="1" x14ac:dyDescent="0.35">
      <c r="A462" s="4"/>
      <c r="E462" s="5"/>
      <c r="F462" s="5"/>
    </row>
    <row r="463" spans="1:6" ht="14.25" customHeight="1" x14ac:dyDescent="0.35">
      <c r="A463" s="4"/>
      <c r="E463" s="5"/>
      <c r="F463" s="5"/>
    </row>
    <row r="464" spans="1:6" ht="14.25" customHeight="1" x14ac:dyDescent="0.35">
      <c r="A464" s="4"/>
      <c r="E464" s="5"/>
      <c r="F464" s="5"/>
    </row>
    <row r="465" spans="1:6" ht="14.25" customHeight="1" x14ac:dyDescent="0.35">
      <c r="A465" s="4"/>
      <c r="E465" s="5"/>
      <c r="F465" s="5"/>
    </row>
    <row r="466" spans="1:6" ht="14.25" customHeight="1" x14ac:dyDescent="0.35">
      <c r="A466" s="4"/>
      <c r="E466" s="5"/>
      <c r="F466" s="5"/>
    </row>
    <row r="467" spans="1:6" ht="14.25" customHeight="1" x14ac:dyDescent="0.35">
      <c r="A467" s="4"/>
      <c r="E467" s="5"/>
      <c r="F467" s="5"/>
    </row>
    <row r="468" spans="1:6" ht="14.25" customHeight="1" x14ac:dyDescent="0.35">
      <c r="A468" s="4"/>
      <c r="E468" s="5"/>
      <c r="F468" s="5"/>
    </row>
    <row r="469" spans="1:6" ht="14.25" customHeight="1" x14ac:dyDescent="0.35">
      <c r="A469" s="4"/>
      <c r="E469" s="5"/>
      <c r="F469" s="5"/>
    </row>
    <row r="470" spans="1:6" ht="14.25" customHeight="1" x14ac:dyDescent="0.35">
      <c r="A470" s="4"/>
      <c r="E470" s="5"/>
      <c r="F470" s="5"/>
    </row>
    <row r="471" spans="1:6" ht="14.25" customHeight="1" x14ac:dyDescent="0.35">
      <c r="A471" s="4"/>
      <c r="E471" s="5"/>
      <c r="F471" s="5"/>
    </row>
    <row r="472" spans="1:6" ht="14.25" customHeight="1" x14ac:dyDescent="0.35">
      <c r="A472" s="4"/>
      <c r="E472" s="5"/>
      <c r="F472" s="5"/>
    </row>
    <row r="473" spans="1:6" ht="14.25" customHeight="1" x14ac:dyDescent="0.35">
      <c r="A473" s="4"/>
      <c r="E473" s="5"/>
      <c r="F473" s="5"/>
    </row>
    <row r="474" spans="1:6" ht="14.25" customHeight="1" x14ac:dyDescent="0.35">
      <c r="A474" s="4"/>
      <c r="E474" s="5"/>
      <c r="F474" s="5"/>
    </row>
    <row r="475" spans="1:6" ht="14.25" customHeight="1" x14ac:dyDescent="0.35">
      <c r="A475" s="4"/>
      <c r="E475" s="5"/>
      <c r="F475" s="5"/>
    </row>
    <row r="476" spans="1:6" ht="14.25" customHeight="1" x14ac:dyDescent="0.35">
      <c r="A476" s="4"/>
      <c r="E476" s="5"/>
      <c r="F476" s="5"/>
    </row>
    <row r="477" spans="1:6" ht="14.25" customHeight="1" x14ac:dyDescent="0.35">
      <c r="A477" s="4"/>
      <c r="E477" s="5"/>
      <c r="F477" s="5"/>
    </row>
    <row r="478" spans="1:6" ht="14.25" customHeight="1" x14ac:dyDescent="0.35">
      <c r="A478" s="4"/>
      <c r="E478" s="5"/>
      <c r="F478" s="5"/>
    </row>
    <row r="479" spans="1:6" ht="14.25" customHeight="1" x14ac:dyDescent="0.35">
      <c r="A479" s="4"/>
      <c r="E479" s="5"/>
      <c r="F479" s="5"/>
    </row>
    <row r="480" spans="1:6" ht="14.25" customHeight="1" x14ac:dyDescent="0.35">
      <c r="A480" s="4"/>
      <c r="E480" s="5"/>
      <c r="F480" s="5"/>
    </row>
    <row r="481" spans="1:6" ht="14.25" customHeight="1" x14ac:dyDescent="0.35">
      <c r="A481" s="4"/>
      <c r="E481" s="5"/>
      <c r="F481" s="5"/>
    </row>
    <row r="482" spans="1:6" ht="14.25" customHeight="1" x14ac:dyDescent="0.35">
      <c r="A482" s="4"/>
      <c r="E482" s="5"/>
      <c r="F482" s="5"/>
    </row>
    <row r="483" spans="1:6" ht="14.25" customHeight="1" x14ac:dyDescent="0.35">
      <c r="A483" s="4"/>
      <c r="E483" s="5"/>
      <c r="F483" s="5"/>
    </row>
    <row r="484" spans="1:6" ht="14.25" customHeight="1" x14ac:dyDescent="0.35">
      <c r="A484" s="4"/>
      <c r="E484" s="5"/>
      <c r="F484" s="5"/>
    </row>
    <row r="485" spans="1:6" ht="14.25" customHeight="1" x14ac:dyDescent="0.35">
      <c r="A485" s="4"/>
      <c r="E485" s="5"/>
      <c r="F485" s="5"/>
    </row>
    <row r="486" spans="1:6" ht="14.25" customHeight="1" x14ac:dyDescent="0.35">
      <c r="A486" s="4"/>
      <c r="E486" s="5"/>
      <c r="F486" s="5"/>
    </row>
    <row r="487" spans="1:6" ht="14.25" customHeight="1" x14ac:dyDescent="0.35">
      <c r="A487" s="4"/>
      <c r="E487" s="5"/>
      <c r="F487" s="5"/>
    </row>
    <row r="488" spans="1:6" ht="14.25" customHeight="1" x14ac:dyDescent="0.35">
      <c r="A488" s="4"/>
      <c r="E488" s="5"/>
      <c r="F488" s="5"/>
    </row>
    <row r="489" spans="1:6" ht="14.25" customHeight="1" x14ac:dyDescent="0.35">
      <c r="A489" s="4"/>
      <c r="E489" s="5"/>
      <c r="F489" s="5"/>
    </row>
    <row r="490" spans="1:6" ht="14.25" customHeight="1" x14ac:dyDescent="0.35">
      <c r="A490" s="4"/>
      <c r="E490" s="5"/>
      <c r="F490" s="5"/>
    </row>
    <row r="491" spans="1:6" ht="14.25" customHeight="1" x14ac:dyDescent="0.35">
      <c r="A491" s="4"/>
      <c r="E491" s="5"/>
      <c r="F491" s="5"/>
    </row>
    <row r="492" spans="1:6" ht="14.25" customHeight="1" x14ac:dyDescent="0.35">
      <c r="A492" s="4"/>
      <c r="E492" s="5"/>
      <c r="F492" s="5"/>
    </row>
    <row r="493" spans="1:6" ht="14.25" customHeight="1" x14ac:dyDescent="0.35">
      <c r="A493" s="4"/>
      <c r="E493" s="5"/>
      <c r="F493" s="5"/>
    </row>
    <row r="494" spans="1:6" ht="14.25" customHeight="1" x14ac:dyDescent="0.35">
      <c r="A494" s="4"/>
      <c r="E494" s="5"/>
      <c r="F494" s="5"/>
    </row>
    <row r="495" spans="1:6" ht="14.25" customHeight="1" x14ac:dyDescent="0.35">
      <c r="A495" s="4"/>
      <c r="E495" s="5"/>
      <c r="F495" s="5"/>
    </row>
    <row r="496" spans="1:6" ht="14.25" customHeight="1" x14ac:dyDescent="0.35">
      <c r="A496" s="4"/>
      <c r="E496" s="5"/>
      <c r="F496" s="5"/>
    </row>
    <row r="497" spans="1:6" ht="14.25" customHeight="1" x14ac:dyDescent="0.35">
      <c r="A497" s="4"/>
      <c r="E497" s="5"/>
      <c r="F497" s="5"/>
    </row>
    <row r="498" spans="1:6" ht="14.25" customHeight="1" x14ac:dyDescent="0.35">
      <c r="A498" s="4"/>
      <c r="E498" s="5"/>
      <c r="F498" s="5"/>
    </row>
    <row r="499" spans="1:6" ht="14.25" customHeight="1" x14ac:dyDescent="0.35">
      <c r="A499" s="4"/>
      <c r="E499" s="5"/>
      <c r="F499" s="5"/>
    </row>
    <row r="500" spans="1:6" ht="14.25" customHeight="1" x14ac:dyDescent="0.35">
      <c r="A500" s="4"/>
      <c r="E500" s="5"/>
      <c r="F500" s="5"/>
    </row>
    <row r="501" spans="1:6" ht="14.25" customHeight="1" x14ac:dyDescent="0.35">
      <c r="A501" s="4"/>
      <c r="E501" s="5"/>
      <c r="F501" s="5"/>
    </row>
    <row r="502" spans="1:6" ht="14.25" customHeight="1" x14ac:dyDescent="0.35">
      <c r="A502" s="4"/>
      <c r="E502" s="5"/>
      <c r="F502" s="5"/>
    </row>
    <row r="503" spans="1:6" ht="14.25" customHeight="1" x14ac:dyDescent="0.35">
      <c r="A503" s="4"/>
      <c r="E503" s="5"/>
      <c r="F503" s="5"/>
    </row>
    <row r="504" spans="1:6" ht="14.25" customHeight="1" x14ac:dyDescent="0.35">
      <c r="A504" s="4"/>
      <c r="E504" s="5"/>
      <c r="F504" s="5"/>
    </row>
    <row r="505" spans="1:6" ht="14.25" customHeight="1" x14ac:dyDescent="0.35">
      <c r="A505" s="4"/>
      <c r="E505" s="5"/>
      <c r="F505" s="5"/>
    </row>
    <row r="506" spans="1:6" ht="14.25" customHeight="1" x14ac:dyDescent="0.35">
      <c r="A506" s="4"/>
      <c r="E506" s="5"/>
      <c r="F506" s="5"/>
    </row>
    <row r="507" spans="1:6" ht="14.25" customHeight="1" x14ac:dyDescent="0.35">
      <c r="A507" s="4"/>
      <c r="E507" s="5"/>
      <c r="F507" s="5"/>
    </row>
    <row r="508" spans="1:6" ht="14.25" customHeight="1" x14ac:dyDescent="0.35">
      <c r="A508" s="4"/>
      <c r="E508" s="5"/>
      <c r="F508" s="5"/>
    </row>
    <row r="509" spans="1:6" ht="14.25" customHeight="1" x14ac:dyDescent="0.35">
      <c r="A509" s="4"/>
      <c r="E509" s="5"/>
      <c r="F509" s="5"/>
    </row>
    <row r="510" spans="1:6" ht="14.25" customHeight="1" x14ac:dyDescent="0.35">
      <c r="A510" s="4"/>
      <c r="E510" s="5"/>
      <c r="F510" s="5"/>
    </row>
    <row r="511" spans="1:6" ht="14.25" customHeight="1" x14ac:dyDescent="0.35">
      <c r="A511" s="4"/>
      <c r="E511" s="5"/>
      <c r="F511" s="5"/>
    </row>
    <row r="512" spans="1:6" ht="14.25" customHeight="1" x14ac:dyDescent="0.35">
      <c r="A512" s="4"/>
      <c r="E512" s="5"/>
      <c r="F512" s="5"/>
    </row>
    <row r="513" spans="1:6" ht="14.25" customHeight="1" x14ac:dyDescent="0.35">
      <c r="A513" s="4"/>
      <c r="E513" s="5"/>
      <c r="F513" s="5"/>
    </row>
    <row r="514" spans="1:6" ht="14.25" customHeight="1" x14ac:dyDescent="0.35">
      <c r="A514" s="4"/>
      <c r="E514" s="5"/>
      <c r="F514" s="5"/>
    </row>
    <row r="515" spans="1:6" ht="14.25" customHeight="1" x14ac:dyDescent="0.35">
      <c r="A515" s="4"/>
      <c r="E515" s="5"/>
      <c r="F515" s="5"/>
    </row>
    <row r="516" spans="1:6" ht="14.25" customHeight="1" x14ac:dyDescent="0.35">
      <c r="A516" s="4"/>
      <c r="E516" s="5"/>
      <c r="F516" s="5"/>
    </row>
    <row r="517" spans="1:6" ht="14.25" customHeight="1" x14ac:dyDescent="0.35">
      <c r="A517" s="4"/>
      <c r="E517" s="5"/>
      <c r="F517" s="5"/>
    </row>
    <row r="518" spans="1:6" ht="14.25" customHeight="1" x14ac:dyDescent="0.35">
      <c r="A518" s="4"/>
      <c r="E518" s="5"/>
      <c r="F518" s="5"/>
    </row>
    <row r="519" spans="1:6" ht="14.25" customHeight="1" x14ac:dyDescent="0.35">
      <c r="A519" s="4"/>
      <c r="E519" s="5"/>
      <c r="F519" s="5"/>
    </row>
    <row r="520" spans="1:6" ht="14.25" customHeight="1" x14ac:dyDescent="0.35">
      <c r="A520" s="4"/>
      <c r="E520" s="5"/>
      <c r="F520" s="5"/>
    </row>
    <row r="521" spans="1:6" ht="14.25" customHeight="1" x14ac:dyDescent="0.35">
      <c r="A521" s="4"/>
      <c r="E521" s="5"/>
      <c r="F521" s="5"/>
    </row>
    <row r="522" spans="1:6" ht="14.25" customHeight="1" x14ac:dyDescent="0.35">
      <c r="A522" s="4"/>
      <c r="E522" s="5"/>
      <c r="F522" s="5"/>
    </row>
    <row r="523" spans="1:6" ht="14.25" customHeight="1" x14ac:dyDescent="0.35">
      <c r="A523" s="4"/>
      <c r="E523" s="5"/>
      <c r="F523" s="5"/>
    </row>
    <row r="524" spans="1:6" ht="14.25" customHeight="1" x14ac:dyDescent="0.35">
      <c r="A524" s="4"/>
      <c r="E524" s="5"/>
      <c r="F524" s="5"/>
    </row>
    <row r="525" spans="1:6" ht="14.25" customHeight="1" x14ac:dyDescent="0.35">
      <c r="A525" s="4"/>
      <c r="E525" s="5"/>
      <c r="F525" s="5"/>
    </row>
    <row r="526" spans="1:6" ht="14.25" customHeight="1" x14ac:dyDescent="0.35">
      <c r="A526" s="4"/>
      <c r="E526" s="5"/>
      <c r="F526" s="5"/>
    </row>
    <row r="527" spans="1:6" ht="14.25" customHeight="1" x14ac:dyDescent="0.35">
      <c r="A527" s="4"/>
      <c r="E527" s="5"/>
      <c r="F527" s="5"/>
    </row>
    <row r="528" spans="1:6" ht="14.25" customHeight="1" x14ac:dyDescent="0.35">
      <c r="A528" s="4"/>
      <c r="E528" s="5"/>
      <c r="F528" s="5"/>
    </row>
    <row r="529" spans="1:6" ht="14.25" customHeight="1" x14ac:dyDescent="0.35">
      <c r="A529" s="4"/>
      <c r="E529" s="5"/>
      <c r="F529" s="5"/>
    </row>
    <row r="530" spans="1:6" ht="14.25" customHeight="1" x14ac:dyDescent="0.35">
      <c r="A530" s="4"/>
      <c r="E530" s="5"/>
      <c r="F530" s="5"/>
    </row>
    <row r="531" spans="1:6" ht="14.25" customHeight="1" x14ac:dyDescent="0.35">
      <c r="A531" s="4"/>
      <c r="E531" s="5"/>
      <c r="F531" s="5"/>
    </row>
    <row r="532" spans="1:6" ht="14.25" customHeight="1" x14ac:dyDescent="0.35">
      <c r="A532" s="4"/>
      <c r="E532" s="5"/>
      <c r="F532" s="5"/>
    </row>
    <row r="533" spans="1:6" ht="14.25" customHeight="1" x14ac:dyDescent="0.35">
      <c r="A533" s="4"/>
      <c r="E533" s="5"/>
      <c r="F533" s="5"/>
    </row>
    <row r="534" spans="1:6" ht="14.25" customHeight="1" x14ac:dyDescent="0.35">
      <c r="A534" s="4"/>
      <c r="E534" s="5"/>
      <c r="F534" s="5"/>
    </row>
    <row r="535" spans="1:6" ht="14.25" customHeight="1" x14ac:dyDescent="0.35">
      <c r="A535" s="4"/>
      <c r="E535" s="5"/>
      <c r="F535" s="5"/>
    </row>
    <row r="536" spans="1:6" ht="14.25" customHeight="1" x14ac:dyDescent="0.35">
      <c r="A536" s="4"/>
      <c r="E536" s="5"/>
      <c r="F536" s="5"/>
    </row>
    <row r="537" spans="1:6" ht="14.25" customHeight="1" x14ac:dyDescent="0.35">
      <c r="A537" s="4"/>
      <c r="E537" s="5"/>
      <c r="F537" s="5"/>
    </row>
    <row r="538" spans="1:6" ht="14.25" customHeight="1" x14ac:dyDescent="0.35">
      <c r="A538" s="4"/>
      <c r="E538" s="5"/>
      <c r="F538" s="5"/>
    </row>
    <row r="539" spans="1:6" ht="14.25" customHeight="1" x14ac:dyDescent="0.35">
      <c r="A539" s="4"/>
      <c r="E539" s="5"/>
      <c r="F539" s="5"/>
    </row>
    <row r="540" spans="1:6" ht="14.25" customHeight="1" x14ac:dyDescent="0.35">
      <c r="A540" s="4"/>
      <c r="E540" s="5"/>
      <c r="F540" s="5"/>
    </row>
    <row r="541" spans="1:6" ht="14.25" customHeight="1" x14ac:dyDescent="0.35">
      <c r="A541" s="4"/>
      <c r="E541" s="5"/>
      <c r="F541" s="5"/>
    </row>
    <row r="542" spans="1:6" ht="14.25" customHeight="1" x14ac:dyDescent="0.35">
      <c r="A542" s="4"/>
      <c r="E542" s="5"/>
      <c r="F542" s="5"/>
    </row>
    <row r="543" spans="1:6" ht="14.25" customHeight="1" x14ac:dyDescent="0.35">
      <c r="A543" s="4"/>
      <c r="E543" s="5"/>
      <c r="F543" s="5"/>
    </row>
    <row r="544" spans="1:6" ht="14.25" customHeight="1" x14ac:dyDescent="0.35">
      <c r="A544" s="4"/>
      <c r="E544" s="5"/>
      <c r="F544" s="5"/>
    </row>
    <row r="545" spans="1:6" ht="14.25" customHeight="1" x14ac:dyDescent="0.35">
      <c r="A545" s="4"/>
      <c r="E545" s="5"/>
      <c r="F545" s="5"/>
    </row>
    <row r="546" spans="1:6" ht="14.25" customHeight="1" x14ac:dyDescent="0.35">
      <c r="A546" s="4"/>
      <c r="E546" s="5"/>
      <c r="F546" s="5"/>
    </row>
    <row r="547" spans="1:6" ht="14.25" customHeight="1" x14ac:dyDescent="0.35">
      <c r="A547" s="4"/>
      <c r="E547" s="5"/>
      <c r="F547" s="5"/>
    </row>
    <row r="548" spans="1:6" ht="14.25" customHeight="1" x14ac:dyDescent="0.35">
      <c r="A548" s="4"/>
      <c r="E548" s="5"/>
      <c r="F548" s="5"/>
    </row>
    <row r="549" spans="1:6" ht="14.25" customHeight="1" x14ac:dyDescent="0.35">
      <c r="A549" s="4"/>
      <c r="E549" s="5"/>
      <c r="F549" s="5"/>
    </row>
    <row r="550" spans="1:6" ht="14.25" customHeight="1" x14ac:dyDescent="0.35">
      <c r="A550" s="4"/>
      <c r="E550" s="5"/>
      <c r="F550" s="5"/>
    </row>
    <row r="551" spans="1:6" ht="14.25" customHeight="1" x14ac:dyDescent="0.35">
      <c r="A551" s="4"/>
      <c r="E551" s="5"/>
      <c r="F551" s="5"/>
    </row>
    <row r="552" spans="1:6" ht="14.25" customHeight="1" x14ac:dyDescent="0.35">
      <c r="A552" s="4"/>
      <c r="E552" s="5"/>
      <c r="F552" s="5"/>
    </row>
    <row r="553" spans="1:6" ht="14.25" customHeight="1" x14ac:dyDescent="0.35">
      <c r="A553" s="4"/>
      <c r="E553" s="5"/>
      <c r="F553" s="5"/>
    </row>
    <row r="554" spans="1:6" ht="14.25" customHeight="1" x14ac:dyDescent="0.35">
      <c r="A554" s="4"/>
      <c r="E554" s="5"/>
      <c r="F554" s="5"/>
    </row>
    <row r="555" spans="1:6" ht="14.25" customHeight="1" x14ac:dyDescent="0.35">
      <c r="A555" s="4"/>
      <c r="E555" s="5"/>
      <c r="F555" s="5"/>
    </row>
    <row r="556" spans="1:6" ht="14.25" customHeight="1" x14ac:dyDescent="0.35">
      <c r="A556" s="4"/>
      <c r="E556" s="5"/>
      <c r="F556" s="5"/>
    </row>
    <row r="557" spans="1:6" ht="14.25" customHeight="1" x14ac:dyDescent="0.35">
      <c r="A557" s="4"/>
      <c r="E557" s="5"/>
      <c r="F557" s="5"/>
    </row>
    <row r="558" spans="1:6" ht="14.25" customHeight="1" x14ac:dyDescent="0.35">
      <c r="A558" s="4"/>
      <c r="E558" s="5"/>
      <c r="F558" s="5"/>
    </row>
    <row r="559" spans="1:6" ht="14.25" customHeight="1" x14ac:dyDescent="0.35">
      <c r="A559" s="4"/>
      <c r="E559" s="5"/>
      <c r="F559" s="5"/>
    </row>
    <row r="560" spans="1:6" ht="14.25" customHeight="1" x14ac:dyDescent="0.35">
      <c r="A560" s="4"/>
      <c r="E560" s="5"/>
      <c r="F560" s="5"/>
    </row>
    <row r="561" spans="1:6" ht="14.25" customHeight="1" x14ac:dyDescent="0.35">
      <c r="A561" s="4"/>
      <c r="E561" s="5"/>
      <c r="F561" s="5"/>
    </row>
    <row r="562" spans="1:6" ht="14.25" customHeight="1" x14ac:dyDescent="0.35">
      <c r="A562" s="4"/>
      <c r="E562" s="5"/>
      <c r="F562" s="5"/>
    </row>
    <row r="563" spans="1:6" ht="14.25" customHeight="1" x14ac:dyDescent="0.35">
      <c r="A563" s="4"/>
      <c r="E563" s="5"/>
      <c r="F563" s="5"/>
    </row>
    <row r="564" spans="1:6" ht="14.25" customHeight="1" x14ac:dyDescent="0.35">
      <c r="A564" s="4"/>
      <c r="E564" s="5"/>
      <c r="F564" s="5"/>
    </row>
    <row r="565" spans="1:6" ht="14.25" customHeight="1" x14ac:dyDescent="0.35">
      <c r="A565" s="4"/>
      <c r="E565" s="5"/>
      <c r="F565" s="5"/>
    </row>
    <row r="566" spans="1:6" ht="14.25" customHeight="1" x14ac:dyDescent="0.35">
      <c r="A566" s="4"/>
      <c r="E566" s="5"/>
      <c r="F566" s="5"/>
    </row>
    <row r="567" spans="1:6" ht="14.25" customHeight="1" x14ac:dyDescent="0.35">
      <c r="A567" s="4"/>
      <c r="E567" s="5"/>
      <c r="F567" s="5"/>
    </row>
    <row r="568" spans="1:6" ht="14.25" customHeight="1" x14ac:dyDescent="0.35">
      <c r="A568" s="4"/>
      <c r="E568" s="5"/>
      <c r="F568" s="5"/>
    </row>
    <row r="569" spans="1:6" ht="14.25" customHeight="1" x14ac:dyDescent="0.35">
      <c r="A569" s="4"/>
      <c r="E569" s="5"/>
      <c r="F569" s="5"/>
    </row>
    <row r="570" spans="1:6" ht="14.25" customHeight="1" x14ac:dyDescent="0.35">
      <c r="A570" s="4"/>
      <c r="E570" s="5"/>
      <c r="F570" s="5"/>
    </row>
    <row r="571" spans="1:6" ht="14.25" customHeight="1" x14ac:dyDescent="0.35">
      <c r="A571" s="4"/>
      <c r="E571" s="5"/>
      <c r="F571" s="5"/>
    </row>
    <row r="572" spans="1:6" ht="14.25" customHeight="1" x14ac:dyDescent="0.35">
      <c r="A572" s="4"/>
      <c r="E572" s="5"/>
      <c r="F572" s="5"/>
    </row>
    <row r="573" spans="1:6" ht="14.25" customHeight="1" x14ac:dyDescent="0.35">
      <c r="A573" s="4"/>
      <c r="E573" s="5"/>
      <c r="F573" s="5"/>
    </row>
    <row r="574" spans="1:6" ht="14.25" customHeight="1" x14ac:dyDescent="0.35">
      <c r="A574" s="4"/>
      <c r="E574" s="5"/>
      <c r="F574" s="5"/>
    </row>
    <row r="575" spans="1:6" ht="14.25" customHeight="1" x14ac:dyDescent="0.35">
      <c r="A575" s="4"/>
      <c r="E575" s="5"/>
      <c r="F575" s="5"/>
    </row>
    <row r="576" spans="1:6" ht="14.25" customHeight="1" x14ac:dyDescent="0.35">
      <c r="A576" s="4"/>
      <c r="E576" s="5"/>
      <c r="F576" s="5"/>
    </row>
    <row r="577" spans="1:6" ht="14.25" customHeight="1" x14ac:dyDescent="0.35">
      <c r="A577" s="4"/>
      <c r="E577" s="5"/>
      <c r="F577" s="5"/>
    </row>
    <row r="578" spans="1:6" ht="14.25" customHeight="1" x14ac:dyDescent="0.35">
      <c r="A578" s="4"/>
      <c r="E578" s="5"/>
      <c r="F578" s="5"/>
    </row>
    <row r="579" spans="1:6" ht="14.25" customHeight="1" x14ac:dyDescent="0.35">
      <c r="A579" s="4"/>
      <c r="E579" s="5"/>
      <c r="F579" s="5"/>
    </row>
    <row r="580" spans="1:6" ht="14.25" customHeight="1" x14ac:dyDescent="0.35">
      <c r="A580" s="4"/>
      <c r="E580" s="5"/>
      <c r="F580" s="5"/>
    </row>
    <row r="581" spans="1:6" ht="14.25" customHeight="1" x14ac:dyDescent="0.35">
      <c r="A581" s="4"/>
      <c r="E581" s="5"/>
      <c r="F581" s="5"/>
    </row>
    <row r="582" spans="1:6" ht="14.25" customHeight="1" x14ac:dyDescent="0.35">
      <c r="A582" s="4"/>
      <c r="E582" s="5"/>
      <c r="F582" s="5"/>
    </row>
    <row r="583" spans="1:6" ht="14.25" customHeight="1" x14ac:dyDescent="0.35">
      <c r="A583" s="4"/>
      <c r="E583" s="5"/>
      <c r="F583" s="5"/>
    </row>
    <row r="584" spans="1:6" ht="14.25" customHeight="1" x14ac:dyDescent="0.35">
      <c r="A584" s="4"/>
      <c r="E584" s="5"/>
      <c r="F584" s="5"/>
    </row>
    <row r="585" spans="1:6" ht="14.25" customHeight="1" x14ac:dyDescent="0.35">
      <c r="A585" s="4"/>
      <c r="E585" s="5"/>
      <c r="F585" s="5"/>
    </row>
    <row r="586" spans="1:6" ht="14.25" customHeight="1" x14ac:dyDescent="0.35">
      <c r="A586" s="4"/>
      <c r="E586" s="5"/>
      <c r="F586" s="5"/>
    </row>
    <row r="587" spans="1:6" ht="14.25" customHeight="1" x14ac:dyDescent="0.35">
      <c r="A587" s="4"/>
      <c r="E587" s="5"/>
      <c r="F587" s="5"/>
    </row>
    <row r="588" spans="1:6" ht="14.25" customHeight="1" x14ac:dyDescent="0.35">
      <c r="A588" s="4"/>
      <c r="E588" s="5"/>
      <c r="F588" s="5"/>
    </row>
    <row r="589" spans="1:6" ht="14.25" customHeight="1" x14ac:dyDescent="0.35">
      <c r="A589" s="4"/>
      <c r="E589" s="5"/>
      <c r="F589" s="5"/>
    </row>
    <row r="590" spans="1:6" ht="14.25" customHeight="1" x14ac:dyDescent="0.35">
      <c r="A590" s="4"/>
      <c r="E590" s="5"/>
      <c r="F590" s="5"/>
    </row>
    <row r="591" spans="1:6" ht="14.25" customHeight="1" x14ac:dyDescent="0.35">
      <c r="A591" s="4"/>
      <c r="E591" s="5"/>
      <c r="F591" s="5"/>
    </row>
    <row r="592" spans="1:6" ht="14.25" customHeight="1" x14ac:dyDescent="0.35">
      <c r="A592" s="4"/>
      <c r="E592" s="5"/>
      <c r="F592" s="5"/>
    </row>
    <row r="593" spans="1:6" ht="14.25" customHeight="1" x14ac:dyDescent="0.35">
      <c r="A593" s="4"/>
      <c r="E593" s="5"/>
      <c r="F593" s="5"/>
    </row>
    <row r="594" spans="1:6" ht="14.25" customHeight="1" x14ac:dyDescent="0.35">
      <c r="A594" s="4"/>
      <c r="E594" s="5"/>
      <c r="F594" s="5"/>
    </row>
    <row r="595" spans="1:6" ht="14.25" customHeight="1" x14ac:dyDescent="0.35">
      <c r="A595" s="4"/>
      <c r="E595" s="5"/>
      <c r="F595" s="5"/>
    </row>
    <row r="596" spans="1:6" ht="14.25" customHeight="1" x14ac:dyDescent="0.35">
      <c r="A596" s="4"/>
      <c r="E596" s="5"/>
      <c r="F596" s="5"/>
    </row>
    <row r="597" spans="1:6" ht="14.25" customHeight="1" x14ac:dyDescent="0.35">
      <c r="A597" s="4"/>
      <c r="E597" s="5"/>
      <c r="F597" s="5"/>
    </row>
    <row r="598" spans="1:6" ht="14.25" customHeight="1" x14ac:dyDescent="0.35">
      <c r="A598" s="4"/>
      <c r="E598" s="5"/>
      <c r="F598" s="5"/>
    </row>
    <row r="599" spans="1:6" ht="14.25" customHeight="1" x14ac:dyDescent="0.35">
      <c r="A599" s="4"/>
      <c r="E599" s="5"/>
      <c r="F599" s="5"/>
    </row>
    <row r="600" spans="1:6" ht="14.25" customHeight="1" x14ac:dyDescent="0.35">
      <c r="A600" s="4"/>
      <c r="E600" s="5"/>
      <c r="F600" s="5"/>
    </row>
    <row r="601" spans="1:6" ht="14.25" customHeight="1" x14ac:dyDescent="0.35">
      <c r="A601" s="4"/>
      <c r="E601" s="5"/>
      <c r="F601" s="5"/>
    </row>
    <row r="602" spans="1:6" ht="14.25" customHeight="1" x14ac:dyDescent="0.35">
      <c r="A602" s="4"/>
      <c r="E602" s="5"/>
      <c r="F602" s="5"/>
    </row>
    <row r="603" spans="1:6" ht="14.25" customHeight="1" x14ac:dyDescent="0.35">
      <c r="A603" s="4"/>
      <c r="E603" s="5"/>
      <c r="F603" s="5"/>
    </row>
    <row r="604" spans="1:6" ht="14.25" customHeight="1" x14ac:dyDescent="0.35">
      <c r="A604" s="4"/>
      <c r="E604" s="5"/>
      <c r="F604" s="5"/>
    </row>
    <row r="605" spans="1:6" ht="14.25" customHeight="1" x14ac:dyDescent="0.35">
      <c r="A605" s="4"/>
      <c r="E605" s="5"/>
      <c r="F605" s="5"/>
    </row>
    <row r="606" spans="1:6" ht="14.25" customHeight="1" x14ac:dyDescent="0.35">
      <c r="A606" s="4"/>
      <c r="E606" s="5"/>
      <c r="F606" s="5"/>
    </row>
    <row r="607" spans="1:6" ht="14.25" customHeight="1" x14ac:dyDescent="0.35">
      <c r="A607" s="4"/>
      <c r="E607" s="5"/>
      <c r="F607" s="5"/>
    </row>
    <row r="608" spans="1:6" ht="14.25" customHeight="1" x14ac:dyDescent="0.35">
      <c r="A608" s="4"/>
      <c r="E608" s="5"/>
      <c r="F608" s="5"/>
    </row>
    <row r="609" spans="1:6" ht="14.25" customHeight="1" x14ac:dyDescent="0.35">
      <c r="A609" s="4"/>
      <c r="E609" s="5"/>
      <c r="F609" s="5"/>
    </row>
    <row r="610" spans="1:6" ht="14.25" customHeight="1" x14ac:dyDescent="0.35">
      <c r="A610" s="4"/>
      <c r="E610" s="5"/>
      <c r="F610" s="5"/>
    </row>
    <row r="611" spans="1:6" ht="14.25" customHeight="1" x14ac:dyDescent="0.35">
      <c r="A611" s="4"/>
      <c r="E611" s="5"/>
      <c r="F611" s="5"/>
    </row>
    <row r="612" spans="1:6" ht="14.25" customHeight="1" x14ac:dyDescent="0.35">
      <c r="A612" s="4"/>
      <c r="E612" s="5"/>
      <c r="F612" s="5"/>
    </row>
    <row r="613" spans="1:6" ht="14.25" customHeight="1" x14ac:dyDescent="0.35">
      <c r="A613" s="4"/>
      <c r="E613" s="5"/>
      <c r="F613" s="5"/>
    </row>
    <row r="614" spans="1:6" ht="14.25" customHeight="1" x14ac:dyDescent="0.35">
      <c r="A614" s="4"/>
      <c r="E614" s="5"/>
      <c r="F614" s="5"/>
    </row>
    <row r="615" spans="1:6" ht="14.25" customHeight="1" x14ac:dyDescent="0.35">
      <c r="A615" s="4"/>
      <c r="E615" s="5"/>
      <c r="F615" s="5"/>
    </row>
    <row r="616" spans="1:6" ht="14.25" customHeight="1" x14ac:dyDescent="0.35">
      <c r="A616" s="4"/>
      <c r="E616" s="5"/>
      <c r="F616" s="5"/>
    </row>
    <row r="617" spans="1:6" ht="14.25" customHeight="1" x14ac:dyDescent="0.35">
      <c r="A617" s="4"/>
      <c r="E617" s="5"/>
      <c r="F617" s="5"/>
    </row>
    <row r="618" spans="1:6" ht="14.25" customHeight="1" x14ac:dyDescent="0.35">
      <c r="A618" s="4"/>
      <c r="E618" s="5"/>
      <c r="F618" s="5"/>
    </row>
    <row r="619" spans="1:6" ht="14.25" customHeight="1" x14ac:dyDescent="0.35">
      <c r="A619" s="4"/>
      <c r="E619" s="5"/>
      <c r="F619" s="5"/>
    </row>
    <row r="620" spans="1:6" ht="14.25" customHeight="1" x14ac:dyDescent="0.35">
      <c r="A620" s="4"/>
      <c r="E620" s="5"/>
      <c r="F620" s="5"/>
    </row>
    <row r="621" spans="1:6" ht="14.25" customHeight="1" x14ac:dyDescent="0.35">
      <c r="A621" s="4"/>
      <c r="E621" s="5"/>
      <c r="F621" s="5"/>
    </row>
    <row r="622" spans="1:6" ht="14.25" customHeight="1" x14ac:dyDescent="0.35">
      <c r="A622" s="4"/>
      <c r="E622" s="5"/>
      <c r="F622" s="5"/>
    </row>
    <row r="623" spans="1:6" ht="14.25" customHeight="1" x14ac:dyDescent="0.35">
      <c r="A623" s="4"/>
      <c r="E623" s="5"/>
      <c r="F623" s="5"/>
    </row>
    <row r="624" spans="1:6" ht="14.25" customHeight="1" x14ac:dyDescent="0.35">
      <c r="A624" s="4"/>
      <c r="E624" s="5"/>
      <c r="F624" s="5"/>
    </row>
    <row r="625" spans="1:6" ht="14.25" customHeight="1" x14ac:dyDescent="0.35">
      <c r="A625" s="4"/>
      <c r="E625" s="5"/>
      <c r="F625" s="5"/>
    </row>
    <row r="626" spans="1:6" ht="14.25" customHeight="1" x14ac:dyDescent="0.35">
      <c r="A626" s="4"/>
      <c r="E626" s="5"/>
      <c r="F626" s="5"/>
    </row>
    <row r="627" spans="1:6" ht="14.25" customHeight="1" x14ac:dyDescent="0.35">
      <c r="A627" s="4"/>
      <c r="E627" s="5"/>
      <c r="F627" s="5"/>
    </row>
    <row r="628" spans="1:6" ht="14.25" customHeight="1" x14ac:dyDescent="0.35">
      <c r="A628" s="4"/>
      <c r="E628" s="5"/>
      <c r="F628" s="5"/>
    </row>
    <row r="629" spans="1:6" ht="14.25" customHeight="1" x14ac:dyDescent="0.35">
      <c r="A629" s="4"/>
      <c r="E629" s="5"/>
      <c r="F629" s="5"/>
    </row>
    <row r="630" spans="1:6" ht="14.25" customHeight="1" x14ac:dyDescent="0.35">
      <c r="A630" s="4"/>
      <c r="E630" s="5"/>
      <c r="F630" s="5"/>
    </row>
    <row r="631" spans="1:6" ht="14.25" customHeight="1" x14ac:dyDescent="0.35">
      <c r="A631" s="4"/>
      <c r="E631" s="5"/>
      <c r="F631" s="5"/>
    </row>
    <row r="632" spans="1:6" ht="14.25" customHeight="1" x14ac:dyDescent="0.35">
      <c r="A632" s="4"/>
      <c r="E632" s="5"/>
      <c r="F632" s="5"/>
    </row>
    <row r="633" spans="1:6" ht="14.25" customHeight="1" x14ac:dyDescent="0.35">
      <c r="A633" s="4"/>
      <c r="E633" s="5"/>
      <c r="F633" s="5"/>
    </row>
    <row r="634" spans="1:6" ht="14.25" customHeight="1" x14ac:dyDescent="0.35">
      <c r="A634" s="4"/>
      <c r="E634" s="5"/>
      <c r="F634" s="5"/>
    </row>
    <row r="635" spans="1:6" ht="14.25" customHeight="1" x14ac:dyDescent="0.35">
      <c r="A635" s="4"/>
      <c r="E635" s="5"/>
      <c r="F635" s="5"/>
    </row>
    <row r="636" spans="1:6" ht="14.25" customHeight="1" x14ac:dyDescent="0.35">
      <c r="A636" s="4"/>
      <c r="E636" s="5"/>
      <c r="F636" s="5"/>
    </row>
    <row r="637" spans="1:6" ht="14.25" customHeight="1" x14ac:dyDescent="0.35">
      <c r="A637" s="4"/>
      <c r="E637" s="5"/>
      <c r="F637" s="5"/>
    </row>
    <row r="638" spans="1:6" ht="14.25" customHeight="1" x14ac:dyDescent="0.35">
      <c r="A638" s="4"/>
      <c r="E638" s="5"/>
      <c r="F638" s="5"/>
    </row>
    <row r="639" spans="1:6" ht="14.25" customHeight="1" x14ac:dyDescent="0.35">
      <c r="A639" s="4"/>
      <c r="E639" s="5"/>
      <c r="F639" s="5"/>
    </row>
    <row r="640" spans="1:6" ht="14.25" customHeight="1" x14ac:dyDescent="0.35">
      <c r="A640" s="4"/>
      <c r="E640" s="5"/>
      <c r="F640" s="5"/>
    </row>
    <row r="641" spans="1:6" ht="14.25" customHeight="1" x14ac:dyDescent="0.35">
      <c r="A641" s="4"/>
      <c r="E641" s="5"/>
      <c r="F641" s="5"/>
    </row>
    <row r="642" spans="1:6" ht="14.25" customHeight="1" x14ac:dyDescent="0.35">
      <c r="A642" s="4"/>
      <c r="E642" s="5"/>
      <c r="F642" s="5"/>
    </row>
    <row r="643" spans="1:6" ht="14.25" customHeight="1" x14ac:dyDescent="0.35">
      <c r="A643" s="4"/>
      <c r="E643" s="5"/>
      <c r="F643" s="5"/>
    </row>
    <row r="644" spans="1:6" ht="14.25" customHeight="1" x14ac:dyDescent="0.35">
      <c r="A644" s="4"/>
      <c r="E644" s="5"/>
      <c r="F644" s="5"/>
    </row>
    <row r="645" spans="1:6" ht="14.25" customHeight="1" x14ac:dyDescent="0.35">
      <c r="A645" s="4"/>
      <c r="E645" s="5"/>
      <c r="F645" s="5"/>
    </row>
    <row r="646" spans="1:6" ht="14.25" customHeight="1" x14ac:dyDescent="0.35">
      <c r="A646" s="4"/>
      <c r="E646" s="5"/>
      <c r="F646" s="5"/>
    </row>
    <row r="647" spans="1:6" ht="14.25" customHeight="1" x14ac:dyDescent="0.35">
      <c r="A647" s="4"/>
      <c r="E647" s="5"/>
      <c r="F647" s="5"/>
    </row>
    <row r="648" spans="1:6" ht="14.25" customHeight="1" x14ac:dyDescent="0.35">
      <c r="A648" s="4"/>
      <c r="E648" s="5"/>
      <c r="F648" s="5"/>
    </row>
    <row r="649" spans="1:6" ht="14.25" customHeight="1" x14ac:dyDescent="0.35">
      <c r="A649" s="4"/>
      <c r="E649" s="5"/>
      <c r="F649" s="5"/>
    </row>
    <row r="650" spans="1:6" ht="14.25" customHeight="1" x14ac:dyDescent="0.35">
      <c r="A650" s="4"/>
      <c r="E650" s="5"/>
      <c r="F650" s="5"/>
    </row>
    <row r="651" spans="1:6" ht="14.25" customHeight="1" x14ac:dyDescent="0.35">
      <c r="A651" s="4"/>
      <c r="E651" s="5"/>
      <c r="F651" s="5"/>
    </row>
    <row r="652" spans="1:6" ht="14.25" customHeight="1" x14ac:dyDescent="0.35">
      <c r="A652" s="4"/>
      <c r="E652" s="5"/>
      <c r="F652" s="5"/>
    </row>
    <row r="653" spans="1:6" ht="14.25" customHeight="1" x14ac:dyDescent="0.35">
      <c r="A653" s="4"/>
      <c r="E653" s="5"/>
      <c r="F653" s="5"/>
    </row>
    <row r="654" spans="1:6" ht="14.25" customHeight="1" x14ac:dyDescent="0.35">
      <c r="A654" s="4"/>
      <c r="E654" s="5"/>
      <c r="F654" s="5"/>
    </row>
    <row r="655" spans="1:6" ht="14.25" customHeight="1" x14ac:dyDescent="0.35">
      <c r="A655" s="4"/>
      <c r="E655" s="5"/>
      <c r="F655" s="5"/>
    </row>
    <row r="656" spans="1:6" ht="14.25" customHeight="1" x14ac:dyDescent="0.35">
      <c r="A656" s="4"/>
      <c r="E656" s="5"/>
      <c r="F656" s="5"/>
    </row>
    <row r="657" spans="1:6" ht="14.25" customHeight="1" x14ac:dyDescent="0.35">
      <c r="A657" s="4"/>
      <c r="E657" s="5"/>
      <c r="F657" s="5"/>
    </row>
    <row r="658" spans="1:6" ht="14.25" customHeight="1" x14ac:dyDescent="0.35">
      <c r="A658" s="4"/>
      <c r="E658" s="5"/>
      <c r="F658" s="5"/>
    </row>
    <row r="659" spans="1:6" ht="14.25" customHeight="1" x14ac:dyDescent="0.35">
      <c r="A659" s="4"/>
      <c r="E659" s="5"/>
      <c r="F659" s="5"/>
    </row>
    <row r="660" spans="1:6" ht="14.25" customHeight="1" x14ac:dyDescent="0.35">
      <c r="A660" s="4"/>
      <c r="E660" s="5"/>
      <c r="F660" s="5"/>
    </row>
    <row r="661" spans="1:6" ht="14.25" customHeight="1" x14ac:dyDescent="0.35">
      <c r="A661" s="4"/>
      <c r="E661" s="5"/>
      <c r="F661" s="5"/>
    </row>
    <row r="662" spans="1:6" ht="14.25" customHeight="1" x14ac:dyDescent="0.35">
      <c r="A662" s="4"/>
      <c r="E662" s="5"/>
      <c r="F662" s="5"/>
    </row>
    <row r="663" spans="1:6" ht="14.25" customHeight="1" x14ac:dyDescent="0.35">
      <c r="A663" s="4"/>
      <c r="E663" s="5"/>
      <c r="F663" s="5"/>
    </row>
    <row r="664" spans="1:6" ht="14.25" customHeight="1" x14ac:dyDescent="0.35">
      <c r="A664" s="4"/>
      <c r="E664" s="5"/>
      <c r="F664" s="5"/>
    </row>
    <row r="665" spans="1:6" ht="14.25" customHeight="1" x14ac:dyDescent="0.35">
      <c r="A665" s="4"/>
      <c r="E665" s="5"/>
      <c r="F665" s="5"/>
    </row>
    <row r="666" spans="1:6" ht="14.25" customHeight="1" x14ac:dyDescent="0.35">
      <c r="A666" s="4"/>
      <c r="E666" s="5"/>
      <c r="F666" s="5"/>
    </row>
    <row r="667" spans="1:6" ht="14.25" customHeight="1" x14ac:dyDescent="0.35">
      <c r="A667" s="4"/>
      <c r="E667" s="5"/>
      <c r="F667" s="5"/>
    </row>
    <row r="668" spans="1:6" ht="14.25" customHeight="1" x14ac:dyDescent="0.35">
      <c r="A668" s="4"/>
      <c r="E668" s="5"/>
      <c r="F668" s="5"/>
    </row>
    <row r="669" spans="1:6" ht="14.25" customHeight="1" x14ac:dyDescent="0.35">
      <c r="A669" s="4"/>
      <c r="E669" s="5"/>
      <c r="F669" s="5"/>
    </row>
    <row r="670" spans="1:6" ht="14.25" customHeight="1" x14ac:dyDescent="0.35">
      <c r="A670" s="4"/>
      <c r="E670" s="5"/>
      <c r="F670" s="5"/>
    </row>
    <row r="671" spans="1:6" ht="14.25" customHeight="1" x14ac:dyDescent="0.35">
      <c r="A671" s="4"/>
      <c r="E671" s="5"/>
      <c r="F671" s="5"/>
    </row>
    <row r="672" spans="1:6" ht="14.25" customHeight="1" x14ac:dyDescent="0.35">
      <c r="A672" s="4"/>
      <c r="E672" s="5"/>
      <c r="F672" s="5"/>
    </row>
    <row r="673" spans="1:6" ht="14.25" customHeight="1" x14ac:dyDescent="0.35">
      <c r="A673" s="4"/>
      <c r="E673" s="5"/>
      <c r="F673" s="5"/>
    </row>
    <row r="674" spans="1:6" ht="14.25" customHeight="1" x14ac:dyDescent="0.35">
      <c r="A674" s="4"/>
      <c r="E674" s="5"/>
      <c r="F674" s="5"/>
    </row>
    <row r="675" spans="1:6" ht="14.25" customHeight="1" x14ac:dyDescent="0.35">
      <c r="A675" s="4"/>
      <c r="E675" s="5"/>
      <c r="F675" s="5"/>
    </row>
    <row r="676" spans="1:6" ht="14.25" customHeight="1" x14ac:dyDescent="0.35">
      <c r="A676" s="4"/>
      <c r="E676" s="5"/>
      <c r="F676" s="5"/>
    </row>
    <row r="677" spans="1:6" ht="14.25" customHeight="1" x14ac:dyDescent="0.35">
      <c r="A677" s="4"/>
      <c r="E677" s="5"/>
      <c r="F677" s="5"/>
    </row>
    <row r="678" spans="1:6" ht="14.25" customHeight="1" x14ac:dyDescent="0.35">
      <c r="A678" s="4"/>
      <c r="E678" s="5"/>
      <c r="F678" s="5"/>
    </row>
    <row r="679" spans="1:6" ht="14.25" customHeight="1" x14ac:dyDescent="0.35">
      <c r="A679" s="4"/>
      <c r="E679" s="5"/>
      <c r="F679" s="5"/>
    </row>
    <row r="680" spans="1:6" ht="14.25" customHeight="1" x14ac:dyDescent="0.35">
      <c r="A680" s="4"/>
      <c r="E680" s="5"/>
      <c r="F680" s="5"/>
    </row>
    <row r="681" spans="1:6" ht="14.25" customHeight="1" x14ac:dyDescent="0.35">
      <c r="A681" s="4"/>
      <c r="E681" s="5"/>
      <c r="F681" s="5"/>
    </row>
    <row r="682" spans="1:6" ht="14.25" customHeight="1" x14ac:dyDescent="0.35">
      <c r="A682" s="4"/>
      <c r="E682" s="5"/>
      <c r="F682" s="5"/>
    </row>
    <row r="683" spans="1:6" ht="14.25" customHeight="1" x14ac:dyDescent="0.35">
      <c r="A683" s="4"/>
      <c r="E683" s="5"/>
      <c r="F683" s="5"/>
    </row>
    <row r="684" spans="1:6" ht="14.25" customHeight="1" x14ac:dyDescent="0.35">
      <c r="A684" s="4"/>
      <c r="E684" s="5"/>
      <c r="F684" s="5"/>
    </row>
    <row r="685" spans="1:6" ht="14.25" customHeight="1" x14ac:dyDescent="0.35">
      <c r="A685" s="4"/>
      <c r="E685" s="5"/>
      <c r="F685" s="5"/>
    </row>
    <row r="686" spans="1:6" ht="14.25" customHeight="1" x14ac:dyDescent="0.35">
      <c r="A686" s="4"/>
      <c r="E686" s="5"/>
      <c r="F686" s="5"/>
    </row>
    <row r="687" spans="1:6" ht="14.25" customHeight="1" x14ac:dyDescent="0.35">
      <c r="A687" s="4"/>
      <c r="E687" s="5"/>
      <c r="F687" s="5"/>
    </row>
    <row r="688" spans="1:6" ht="14.25" customHeight="1" x14ac:dyDescent="0.35">
      <c r="A688" s="4"/>
      <c r="E688" s="5"/>
      <c r="F688" s="5"/>
    </row>
    <row r="689" spans="1:6" ht="14.25" customHeight="1" x14ac:dyDescent="0.35">
      <c r="A689" s="4"/>
      <c r="E689" s="5"/>
      <c r="F689" s="5"/>
    </row>
    <row r="690" spans="1:6" ht="14.25" customHeight="1" x14ac:dyDescent="0.35">
      <c r="A690" s="4"/>
      <c r="E690" s="5"/>
      <c r="F690" s="5"/>
    </row>
    <row r="691" spans="1:6" ht="14.25" customHeight="1" x14ac:dyDescent="0.35">
      <c r="A691" s="4"/>
      <c r="E691" s="5"/>
      <c r="F691" s="5"/>
    </row>
    <row r="692" spans="1:6" ht="14.25" customHeight="1" x14ac:dyDescent="0.35">
      <c r="A692" s="4"/>
      <c r="E692" s="5"/>
      <c r="F692" s="5"/>
    </row>
    <row r="693" spans="1:6" ht="14.25" customHeight="1" x14ac:dyDescent="0.35">
      <c r="A693" s="4"/>
      <c r="E693" s="5"/>
      <c r="F693" s="5"/>
    </row>
    <row r="694" spans="1:6" ht="14.25" customHeight="1" x14ac:dyDescent="0.35">
      <c r="A694" s="4"/>
      <c r="E694" s="5"/>
      <c r="F694" s="5"/>
    </row>
    <row r="695" spans="1:6" ht="14.25" customHeight="1" x14ac:dyDescent="0.35">
      <c r="A695" s="4"/>
      <c r="E695" s="5"/>
      <c r="F695" s="5"/>
    </row>
    <row r="696" spans="1:6" ht="14.25" customHeight="1" x14ac:dyDescent="0.35">
      <c r="A696" s="4"/>
      <c r="E696" s="5"/>
      <c r="F696" s="5"/>
    </row>
    <row r="697" spans="1:6" ht="14.25" customHeight="1" x14ac:dyDescent="0.35">
      <c r="A697" s="4"/>
      <c r="E697" s="5"/>
      <c r="F697" s="5"/>
    </row>
    <row r="698" spans="1:6" ht="14.25" customHeight="1" x14ac:dyDescent="0.35">
      <c r="A698" s="4"/>
      <c r="E698" s="5"/>
      <c r="F698" s="5"/>
    </row>
    <row r="699" spans="1:6" ht="14.25" customHeight="1" x14ac:dyDescent="0.35">
      <c r="A699" s="4"/>
      <c r="E699" s="5"/>
      <c r="F699" s="5"/>
    </row>
    <row r="700" spans="1:6" ht="14.25" customHeight="1" x14ac:dyDescent="0.35">
      <c r="A700" s="4"/>
      <c r="E700" s="5"/>
      <c r="F700" s="5"/>
    </row>
    <row r="701" spans="1:6" ht="14.25" customHeight="1" x14ac:dyDescent="0.35">
      <c r="A701" s="4"/>
      <c r="E701" s="5"/>
      <c r="F701" s="5"/>
    </row>
    <row r="702" spans="1:6" ht="14.25" customHeight="1" x14ac:dyDescent="0.35">
      <c r="A702" s="4"/>
      <c r="E702" s="5"/>
      <c r="F702" s="5"/>
    </row>
    <row r="703" spans="1:6" ht="14.25" customHeight="1" x14ac:dyDescent="0.35">
      <c r="A703" s="4"/>
      <c r="E703" s="5"/>
      <c r="F703" s="5"/>
    </row>
    <row r="704" spans="1:6" ht="14.25" customHeight="1" x14ac:dyDescent="0.35">
      <c r="A704" s="4"/>
      <c r="E704" s="5"/>
      <c r="F704" s="5"/>
    </row>
    <row r="705" spans="1:6" ht="14.25" customHeight="1" x14ac:dyDescent="0.35">
      <c r="A705" s="4"/>
      <c r="E705" s="5"/>
      <c r="F705" s="5"/>
    </row>
    <row r="706" spans="1:6" ht="14.25" customHeight="1" x14ac:dyDescent="0.35">
      <c r="A706" s="4"/>
      <c r="E706" s="5"/>
      <c r="F706" s="5"/>
    </row>
    <row r="707" spans="1:6" ht="14.25" customHeight="1" x14ac:dyDescent="0.35">
      <c r="A707" s="4"/>
      <c r="E707" s="5"/>
      <c r="F707" s="5"/>
    </row>
    <row r="708" spans="1:6" ht="14.25" customHeight="1" x14ac:dyDescent="0.35">
      <c r="A708" s="4"/>
      <c r="E708" s="5"/>
      <c r="F708" s="5"/>
    </row>
    <row r="709" spans="1:6" ht="14.25" customHeight="1" x14ac:dyDescent="0.35">
      <c r="A709" s="4"/>
      <c r="E709" s="5"/>
      <c r="F709" s="5"/>
    </row>
    <row r="710" spans="1:6" ht="14.25" customHeight="1" x14ac:dyDescent="0.35">
      <c r="A710" s="4"/>
      <c r="E710" s="5"/>
      <c r="F710" s="5"/>
    </row>
    <row r="711" spans="1:6" ht="14.25" customHeight="1" x14ac:dyDescent="0.35">
      <c r="A711" s="4"/>
      <c r="E711" s="5"/>
      <c r="F711" s="5"/>
    </row>
    <row r="712" spans="1:6" ht="14.25" customHeight="1" x14ac:dyDescent="0.35">
      <c r="A712" s="4"/>
      <c r="E712" s="5"/>
      <c r="F712" s="5"/>
    </row>
    <row r="713" spans="1:6" ht="14.25" customHeight="1" x14ac:dyDescent="0.35">
      <c r="A713" s="4"/>
      <c r="E713" s="5"/>
      <c r="F713" s="5"/>
    </row>
    <row r="714" spans="1:6" ht="14.25" customHeight="1" x14ac:dyDescent="0.35">
      <c r="A714" s="4"/>
      <c r="E714" s="5"/>
      <c r="F714" s="5"/>
    </row>
    <row r="715" spans="1:6" ht="14.25" customHeight="1" x14ac:dyDescent="0.35">
      <c r="A715" s="4"/>
      <c r="E715" s="5"/>
      <c r="F715" s="5"/>
    </row>
    <row r="716" spans="1:6" ht="14.25" customHeight="1" x14ac:dyDescent="0.35">
      <c r="A716" s="4"/>
      <c r="E716" s="5"/>
      <c r="F716" s="5"/>
    </row>
    <row r="717" spans="1:6" ht="14.25" customHeight="1" x14ac:dyDescent="0.35">
      <c r="A717" s="4"/>
      <c r="E717" s="5"/>
      <c r="F717" s="5"/>
    </row>
    <row r="718" spans="1:6" ht="14.25" customHeight="1" x14ac:dyDescent="0.35">
      <c r="A718" s="4"/>
      <c r="E718" s="5"/>
      <c r="F718" s="5"/>
    </row>
    <row r="719" spans="1:6" ht="14.25" customHeight="1" x14ac:dyDescent="0.35">
      <c r="A719" s="4"/>
      <c r="E719" s="5"/>
      <c r="F719" s="5"/>
    </row>
    <row r="720" spans="1:6" ht="14.25" customHeight="1" x14ac:dyDescent="0.35">
      <c r="A720" s="4"/>
      <c r="E720" s="5"/>
      <c r="F720" s="5"/>
    </row>
    <row r="721" spans="1:6" ht="14.25" customHeight="1" x14ac:dyDescent="0.35">
      <c r="A721" s="4"/>
      <c r="E721" s="5"/>
      <c r="F721" s="5"/>
    </row>
    <row r="722" spans="1:6" ht="14.25" customHeight="1" x14ac:dyDescent="0.35">
      <c r="A722" s="4"/>
      <c r="E722" s="5"/>
      <c r="F722" s="5"/>
    </row>
    <row r="723" spans="1:6" ht="14.25" customHeight="1" x14ac:dyDescent="0.35">
      <c r="A723" s="4"/>
      <c r="E723" s="5"/>
      <c r="F723" s="5"/>
    </row>
    <row r="724" spans="1:6" ht="14.25" customHeight="1" x14ac:dyDescent="0.35">
      <c r="A724" s="4"/>
      <c r="E724" s="5"/>
      <c r="F724" s="5"/>
    </row>
    <row r="725" spans="1:6" ht="14.25" customHeight="1" x14ac:dyDescent="0.35">
      <c r="A725" s="4"/>
      <c r="E725" s="5"/>
      <c r="F725" s="5"/>
    </row>
    <row r="726" spans="1:6" ht="14.25" customHeight="1" x14ac:dyDescent="0.35">
      <c r="A726" s="4"/>
      <c r="E726" s="5"/>
      <c r="F726" s="5"/>
    </row>
    <row r="727" spans="1:6" ht="14.25" customHeight="1" x14ac:dyDescent="0.35">
      <c r="A727" s="4"/>
      <c r="E727" s="5"/>
      <c r="F727" s="5"/>
    </row>
    <row r="728" spans="1:6" ht="14.25" customHeight="1" x14ac:dyDescent="0.35">
      <c r="A728" s="4"/>
      <c r="E728" s="5"/>
      <c r="F728" s="5"/>
    </row>
    <row r="729" spans="1:6" ht="14.25" customHeight="1" x14ac:dyDescent="0.35">
      <c r="A729" s="4"/>
      <c r="E729" s="5"/>
      <c r="F729" s="5"/>
    </row>
    <row r="730" spans="1:6" ht="14.25" customHeight="1" x14ac:dyDescent="0.35">
      <c r="A730" s="4"/>
      <c r="E730" s="5"/>
      <c r="F730" s="5"/>
    </row>
    <row r="731" spans="1:6" ht="14.25" customHeight="1" x14ac:dyDescent="0.35">
      <c r="A731" s="4"/>
      <c r="E731" s="5"/>
      <c r="F731" s="5"/>
    </row>
    <row r="732" spans="1:6" ht="14.25" customHeight="1" x14ac:dyDescent="0.35">
      <c r="A732" s="4"/>
      <c r="E732" s="5"/>
      <c r="F732" s="5"/>
    </row>
    <row r="733" spans="1:6" ht="14.25" customHeight="1" x14ac:dyDescent="0.35">
      <c r="A733" s="4"/>
      <c r="E733" s="5"/>
      <c r="F733" s="5"/>
    </row>
    <row r="734" spans="1:6" ht="14.25" customHeight="1" x14ac:dyDescent="0.35">
      <c r="A734" s="4"/>
      <c r="E734" s="5"/>
      <c r="F734" s="5"/>
    </row>
    <row r="735" spans="1:6" ht="14.25" customHeight="1" x14ac:dyDescent="0.35">
      <c r="A735" s="4"/>
      <c r="E735" s="5"/>
      <c r="F735" s="5"/>
    </row>
    <row r="736" spans="1:6" ht="14.25" customHeight="1" x14ac:dyDescent="0.35">
      <c r="A736" s="4"/>
      <c r="E736" s="5"/>
      <c r="F736" s="5"/>
    </row>
    <row r="737" spans="1:6" ht="14.25" customHeight="1" x14ac:dyDescent="0.35">
      <c r="A737" s="4"/>
      <c r="E737" s="5"/>
      <c r="F737" s="5"/>
    </row>
    <row r="738" spans="1:6" ht="14.25" customHeight="1" x14ac:dyDescent="0.35">
      <c r="A738" s="4"/>
      <c r="E738" s="5"/>
      <c r="F738" s="5"/>
    </row>
    <row r="739" spans="1:6" ht="14.25" customHeight="1" x14ac:dyDescent="0.35">
      <c r="A739" s="4"/>
      <c r="E739" s="5"/>
      <c r="F739" s="5"/>
    </row>
    <row r="740" spans="1:6" ht="14.25" customHeight="1" x14ac:dyDescent="0.35">
      <c r="A740" s="4"/>
      <c r="E740" s="5"/>
      <c r="F740" s="5"/>
    </row>
    <row r="741" spans="1:6" ht="14.25" customHeight="1" x14ac:dyDescent="0.35">
      <c r="A741" s="4"/>
      <c r="E741" s="5"/>
      <c r="F741" s="5"/>
    </row>
    <row r="742" spans="1:6" ht="14.25" customHeight="1" x14ac:dyDescent="0.35">
      <c r="A742" s="4"/>
      <c r="E742" s="5"/>
      <c r="F742" s="5"/>
    </row>
    <row r="743" spans="1:6" ht="14.25" customHeight="1" x14ac:dyDescent="0.35">
      <c r="A743" s="4"/>
      <c r="E743" s="5"/>
      <c r="F743" s="5"/>
    </row>
    <row r="744" spans="1:6" ht="14.25" customHeight="1" x14ac:dyDescent="0.35">
      <c r="A744" s="4"/>
      <c r="E744" s="5"/>
      <c r="F744" s="5"/>
    </row>
    <row r="745" spans="1:6" ht="14.25" customHeight="1" x14ac:dyDescent="0.35">
      <c r="A745" s="4"/>
      <c r="E745" s="5"/>
      <c r="F745" s="5"/>
    </row>
    <row r="746" spans="1:6" ht="14.25" customHeight="1" x14ac:dyDescent="0.35">
      <c r="A746" s="4"/>
      <c r="E746" s="5"/>
      <c r="F746" s="5"/>
    </row>
    <row r="747" spans="1:6" ht="14.25" customHeight="1" x14ac:dyDescent="0.35">
      <c r="A747" s="4"/>
      <c r="E747" s="5"/>
      <c r="F747" s="5"/>
    </row>
    <row r="748" spans="1:6" ht="14.25" customHeight="1" x14ac:dyDescent="0.35">
      <c r="A748" s="4"/>
      <c r="E748" s="5"/>
      <c r="F748" s="5"/>
    </row>
    <row r="749" spans="1:6" ht="14.25" customHeight="1" x14ac:dyDescent="0.35">
      <c r="A749" s="4"/>
      <c r="E749" s="5"/>
      <c r="F749" s="5"/>
    </row>
    <row r="750" spans="1:6" ht="14.25" customHeight="1" x14ac:dyDescent="0.35">
      <c r="A750" s="4"/>
      <c r="E750" s="5"/>
      <c r="F750" s="5"/>
    </row>
    <row r="751" spans="1:6" ht="14.25" customHeight="1" x14ac:dyDescent="0.35">
      <c r="A751" s="4"/>
      <c r="E751" s="5"/>
      <c r="F751" s="5"/>
    </row>
    <row r="752" spans="1:6" ht="14.25" customHeight="1" x14ac:dyDescent="0.35">
      <c r="A752" s="4"/>
      <c r="E752" s="5"/>
      <c r="F752" s="5"/>
    </row>
    <row r="753" spans="1:6" ht="14.25" customHeight="1" x14ac:dyDescent="0.35">
      <c r="A753" s="4"/>
      <c r="E753" s="5"/>
      <c r="F753" s="5"/>
    </row>
    <row r="754" spans="1:6" ht="14.25" customHeight="1" x14ac:dyDescent="0.35">
      <c r="A754" s="4"/>
      <c r="E754" s="5"/>
      <c r="F754" s="5"/>
    </row>
    <row r="755" spans="1:6" ht="14.25" customHeight="1" x14ac:dyDescent="0.35">
      <c r="A755" s="4"/>
      <c r="E755" s="5"/>
      <c r="F755" s="5"/>
    </row>
    <row r="756" spans="1:6" ht="14.25" customHeight="1" x14ac:dyDescent="0.35">
      <c r="A756" s="4"/>
      <c r="E756" s="5"/>
      <c r="F756" s="5"/>
    </row>
    <row r="757" spans="1:6" ht="14.25" customHeight="1" x14ac:dyDescent="0.35">
      <c r="A757" s="4"/>
      <c r="E757" s="5"/>
      <c r="F757" s="5"/>
    </row>
    <row r="758" spans="1:6" ht="14.25" customHeight="1" x14ac:dyDescent="0.35">
      <c r="A758" s="4"/>
      <c r="E758" s="5"/>
      <c r="F758" s="5"/>
    </row>
    <row r="759" spans="1:6" ht="14.25" customHeight="1" x14ac:dyDescent="0.35">
      <c r="A759" s="4"/>
      <c r="E759" s="5"/>
      <c r="F759" s="5"/>
    </row>
    <row r="760" spans="1:6" ht="14.25" customHeight="1" x14ac:dyDescent="0.35">
      <c r="A760" s="4"/>
      <c r="E760" s="5"/>
      <c r="F760" s="5"/>
    </row>
    <row r="761" spans="1:6" ht="14.25" customHeight="1" x14ac:dyDescent="0.35">
      <c r="A761" s="4"/>
      <c r="E761" s="5"/>
      <c r="F761" s="5"/>
    </row>
    <row r="762" spans="1:6" ht="14.25" customHeight="1" x14ac:dyDescent="0.35">
      <c r="A762" s="4"/>
      <c r="E762" s="5"/>
      <c r="F762" s="5"/>
    </row>
    <row r="763" spans="1:6" ht="14.25" customHeight="1" x14ac:dyDescent="0.35">
      <c r="A763" s="4"/>
      <c r="E763" s="5"/>
      <c r="F763" s="5"/>
    </row>
    <row r="764" spans="1:6" ht="14.25" customHeight="1" x14ac:dyDescent="0.35">
      <c r="A764" s="4"/>
      <c r="E764" s="5"/>
      <c r="F764" s="5"/>
    </row>
    <row r="765" spans="1:6" ht="14.25" customHeight="1" x14ac:dyDescent="0.35">
      <c r="A765" s="4"/>
      <c r="E765" s="5"/>
      <c r="F765" s="5"/>
    </row>
    <row r="766" spans="1:6" ht="14.25" customHeight="1" x14ac:dyDescent="0.35">
      <c r="A766" s="4"/>
      <c r="E766" s="5"/>
      <c r="F766" s="5"/>
    </row>
    <row r="767" spans="1:6" ht="14.25" customHeight="1" x14ac:dyDescent="0.35">
      <c r="A767" s="4"/>
      <c r="E767" s="5"/>
      <c r="F767" s="5"/>
    </row>
    <row r="768" spans="1:6" ht="14.25" customHeight="1" x14ac:dyDescent="0.35">
      <c r="A768" s="4"/>
      <c r="E768" s="5"/>
      <c r="F768" s="5"/>
    </row>
    <row r="769" spans="1:6" ht="14.25" customHeight="1" x14ac:dyDescent="0.35">
      <c r="A769" s="4"/>
      <c r="E769" s="5"/>
      <c r="F769" s="5"/>
    </row>
    <row r="770" spans="1:6" ht="14.25" customHeight="1" x14ac:dyDescent="0.35">
      <c r="A770" s="4"/>
      <c r="E770" s="5"/>
      <c r="F770" s="5"/>
    </row>
    <row r="771" spans="1:6" ht="14.25" customHeight="1" x14ac:dyDescent="0.35">
      <c r="A771" s="4"/>
      <c r="E771" s="5"/>
      <c r="F771" s="5"/>
    </row>
    <row r="772" spans="1:6" ht="14.25" customHeight="1" x14ac:dyDescent="0.35">
      <c r="A772" s="4"/>
      <c r="E772" s="5"/>
      <c r="F772" s="5"/>
    </row>
    <row r="773" spans="1:6" ht="14.25" customHeight="1" x14ac:dyDescent="0.35">
      <c r="A773" s="4"/>
      <c r="E773" s="5"/>
      <c r="F773" s="5"/>
    </row>
    <row r="774" spans="1:6" ht="14.25" customHeight="1" x14ac:dyDescent="0.35">
      <c r="A774" s="4"/>
      <c r="E774" s="5"/>
      <c r="F774" s="5"/>
    </row>
    <row r="775" spans="1:6" ht="14.25" customHeight="1" x14ac:dyDescent="0.35">
      <c r="A775" s="4"/>
      <c r="E775" s="5"/>
      <c r="F775" s="5"/>
    </row>
    <row r="776" spans="1:6" ht="14.25" customHeight="1" x14ac:dyDescent="0.35">
      <c r="A776" s="4"/>
      <c r="E776" s="5"/>
      <c r="F776" s="5"/>
    </row>
    <row r="777" spans="1:6" ht="14.25" customHeight="1" x14ac:dyDescent="0.35">
      <c r="A777" s="4"/>
      <c r="E777" s="5"/>
      <c r="F777" s="5"/>
    </row>
    <row r="778" spans="1:6" ht="14.25" customHeight="1" x14ac:dyDescent="0.35">
      <c r="A778" s="4"/>
      <c r="E778" s="5"/>
      <c r="F778" s="5"/>
    </row>
    <row r="779" spans="1:6" ht="14.25" customHeight="1" x14ac:dyDescent="0.35">
      <c r="A779" s="4"/>
      <c r="E779" s="5"/>
      <c r="F779" s="5"/>
    </row>
    <row r="780" spans="1:6" ht="14.25" customHeight="1" x14ac:dyDescent="0.35">
      <c r="A780" s="4"/>
      <c r="E780" s="5"/>
      <c r="F780" s="5"/>
    </row>
    <row r="781" spans="1:6" ht="14.25" customHeight="1" x14ac:dyDescent="0.35">
      <c r="A781" s="4"/>
      <c r="E781" s="5"/>
      <c r="F781" s="5"/>
    </row>
    <row r="782" spans="1:6" ht="14.25" customHeight="1" x14ac:dyDescent="0.35">
      <c r="A782" s="4"/>
      <c r="E782" s="5"/>
      <c r="F782" s="5"/>
    </row>
    <row r="783" spans="1:6" ht="14.25" customHeight="1" x14ac:dyDescent="0.35">
      <c r="A783" s="4"/>
      <c r="E783" s="5"/>
      <c r="F783" s="5"/>
    </row>
    <row r="784" spans="1:6" ht="14.25" customHeight="1" x14ac:dyDescent="0.35">
      <c r="A784" s="4"/>
      <c r="E784" s="5"/>
      <c r="F784" s="5"/>
    </row>
    <row r="785" spans="1:6" ht="14.25" customHeight="1" x14ac:dyDescent="0.35">
      <c r="A785" s="4"/>
      <c r="E785" s="5"/>
      <c r="F785" s="5"/>
    </row>
    <row r="786" spans="1:6" ht="14.25" customHeight="1" x14ac:dyDescent="0.35">
      <c r="A786" s="4"/>
      <c r="E786" s="5"/>
      <c r="F786" s="5"/>
    </row>
    <row r="787" spans="1:6" ht="14.25" customHeight="1" x14ac:dyDescent="0.35">
      <c r="A787" s="4"/>
      <c r="E787" s="5"/>
      <c r="F787" s="5"/>
    </row>
    <row r="788" spans="1:6" ht="14.25" customHeight="1" x14ac:dyDescent="0.35">
      <c r="A788" s="4"/>
      <c r="E788" s="5"/>
      <c r="F788" s="5"/>
    </row>
    <row r="789" spans="1:6" ht="14.25" customHeight="1" x14ac:dyDescent="0.35">
      <c r="A789" s="4"/>
      <c r="E789" s="5"/>
      <c r="F789" s="5"/>
    </row>
    <row r="790" spans="1:6" ht="14.25" customHeight="1" x14ac:dyDescent="0.35">
      <c r="A790" s="4"/>
      <c r="E790" s="5"/>
      <c r="F790" s="5"/>
    </row>
    <row r="791" spans="1:6" ht="14.25" customHeight="1" x14ac:dyDescent="0.35">
      <c r="A791" s="4"/>
      <c r="E791" s="5"/>
      <c r="F791" s="5"/>
    </row>
    <row r="792" spans="1:6" ht="14.25" customHeight="1" x14ac:dyDescent="0.35">
      <c r="A792" s="4"/>
      <c r="E792" s="5"/>
      <c r="F792" s="5"/>
    </row>
    <row r="793" spans="1:6" ht="14.25" customHeight="1" x14ac:dyDescent="0.35">
      <c r="A793" s="4"/>
      <c r="E793" s="5"/>
      <c r="F793" s="5"/>
    </row>
    <row r="794" spans="1:6" ht="14.25" customHeight="1" x14ac:dyDescent="0.35">
      <c r="A794" s="4"/>
      <c r="E794" s="5"/>
      <c r="F794" s="5"/>
    </row>
    <row r="795" spans="1:6" ht="14.25" customHeight="1" x14ac:dyDescent="0.35">
      <c r="A795" s="4"/>
      <c r="E795" s="5"/>
      <c r="F795" s="5"/>
    </row>
    <row r="796" spans="1:6" ht="14.25" customHeight="1" x14ac:dyDescent="0.35">
      <c r="A796" s="4"/>
      <c r="E796" s="5"/>
      <c r="F796" s="5"/>
    </row>
    <row r="797" spans="1:6" ht="14.25" customHeight="1" x14ac:dyDescent="0.35">
      <c r="A797" s="4"/>
      <c r="E797" s="5"/>
      <c r="F797" s="5"/>
    </row>
    <row r="798" spans="1:6" ht="14.25" customHeight="1" x14ac:dyDescent="0.35">
      <c r="A798" s="4"/>
      <c r="E798" s="5"/>
      <c r="F798" s="5"/>
    </row>
    <row r="799" spans="1:6" ht="14.25" customHeight="1" x14ac:dyDescent="0.35">
      <c r="A799" s="4"/>
      <c r="E799" s="5"/>
      <c r="F799" s="5"/>
    </row>
    <row r="800" spans="1:6" ht="14.25" customHeight="1" x14ac:dyDescent="0.35">
      <c r="A800" s="4"/>
      <c r="E800" s="5"/>
      <c r="F800" s="5"/>
    </row>
    <row r="801" spans="1:6" ht="14.25" customHeight="1" x14ac:dyDescent="0.35">
      <c r="A801" s="4"/>
      <c r="E801" s="5"/>
      <c r="F801" s="5"/>
    </row>
    <row r="802" spans="1:6" ht="14.25" customHeight="1" x14ac:dyDescent="0.35">
      <c r="A802" s="4"/>
      <c r="E802" s="5"/>
      <c r="F802" s="5"/>
    </row>
    <row r="803" spans="1:6" ht="14.25" customHeight="1" x14ac:dyDescent="0.35">
      <c r="A803" s="4"/>
      <c r="E803" s="5"/>
      <c r="F803" s="5"/>
    </row>
    <row r="804" spans="1:6" ht="14.25" customHeight="1" x14ac:dyDescent="0.35">
      <c r="A804" s="4"/>
      <c r="E804" s="5"/>
      <c r="F804" s="5"/>
    </row>
    <row r="805" spans="1:6" ht="14.25" customHeight="1" x14ac:dyDescent="0.35">
      <c r="A805" s="4"/>
      <c r="E805" s="5"/>
      <c r="F805" s="5"/>
    </row>
    <row r="806" spans="1:6" ht="14.25" customHeight="1" x14ac:dyDescent="0.35">
      <c r="A806" s="4"/>
      <c r="E806" s="5"/>
      <c r="F806" s="5"/>
    </row>
    <row r="807" spans="1:6" ht="14.25" customHeight="1" x14ac:dyDescent="0.35">
      <c r="A807" s="4"/>
      <c r="E807" s="5"/>
      <c r="F807" s="5"/>
    </row>
    <row r="808" spans="1:6" ht="14.25" customHeight="1" x14ac:dyDescent="0.35">
      <c r="A808" s="4"/>
      <c r="E808" s="5"/>
      <c r="F808" s="5"/>
    </row>
    <row r="809" spans="1:6" ht="14.25" customHeight="1" x14ac:dyDescent="0.35">
      <c r="A809" s="4"/>
      <c r="E809" s="5"/>
      <c r="F809" s="5"/>
    </row>
    <row r="810" spans="1:6" ht="14.25" customHeight="1" x14ac:dyDescent="0.35">
      <c r="A810" s="4"/>
      <c r="E810" s="5"/>
      <c r="F810" s="5"/>
    </row>
    <row r="811" spans="1:6" ht="14.25" customHeight="1" x14ac:dyDescent="0.35">
      <c r="A811" s="4"/>
      <c r="E811" s="5"/>
      <c r="F811" s="5"/>
    </row>
    <row r="812" spans="1:6" ht="14.25" customHeight="1" x14ac:dyDescent="0.35">
      <c r="A812" s="4"/>
      <c r="E812" s="5"/>
      <c r="F812" s="5"/>
    </row>
    <row r="813" spans="1:6" ht="14.25" customHeight="1" x14ac:dyDescent="0.35">
      <c r="A813" s="4"/>
      <c r="E813" s="5"/>
      <c r="F813" s="5"/>
    </row>
    <row r="814" spans="1:6" ht="14.25" customHeight="1" x14ac:dyDescent="0.35">
      <c r="A814" s="4"/>
      <c r="E814" s="5"/>
      <c r="F814" s="5"/>
    </row>
    <row r="815" spans="1:6" ht="14.25" customHeight="1" x14ac:dyDescent="0.35">
      <c r="A815" s="4"/>
      <c r="E815" s="5"/>
      <c r="F815" s="5"/>
    </row>
    <row r="816" spans="1:6" ht="14.25" customHeight="1" x14ac:dyDescent="0.35">
      <c r="A816" s="4"/>
      <c r="E816" s="5"/>
      <c r="F816" s="5"/>
    </row>
    <row r="817" spans="1:6" ht="14.25" customHeight="1" x14ac:dyDescent="0.35">
      <c r="A817" s="4"/>
      <c r="E817" s="5"/>
      <c r="F817" s="5"/>
    </row>
    <row r="818" spans="1:6" ht="14.25" customHeight="1" x14ac:dyDescent="0.35">
      <c r="A818" s="4"/>
      <c r="E818" s="5"/>
      <c r="F818" s="5"/>
    </row>
    <row r="819" spans="1:6" ht="14.25" customHeight="1" x14ac:dyDescent="0.35">
      <c r="A819" s="4"/>
      <c r="E819" s="5"/>
      <c r="F819" s="5"/>
    </row>
    <row r="820" spans="1:6" ht="14.25" customHeight="1" x14ac:dyDescent="0.35">
      <c r="A820" s="4"/>
      <c r="E820" s="5"/>
      <c r="F820" s="5"/>
    </row>
    <row r="821" spans="1:6" ht="14.25" customHeight="1" x14ac:dyDescent="0.35">
      <c r="A821" s="4"/>
      <c r="E821" s="5"/>
      <c r="F821" s="5"/>
    </row>
    <row r="822" spans="1:6" ht="14.25" customHeight="1" x14ac:dyDescent="0.35">
      <c r="A822" s="4"/>
      <c r="E822" s="5"/>
      <c r="F822" s="5"/>
    </row>
    <row r="823" spans="1:6" ht="14.25" customHeight="1" x14ac:dyDescent="0.35">
      <c r="A823" s="4"/>
      <c r="E823" s="5"/>
      <c r="F823" s="5"/>
    </row>
    <row r="824" spans="1:6" ht="14.25" customHeight="1" x14ac:dyDescent="0.35">
      <c r="A824" s="4"/>
      <c r="E824" s="5"/>
      <c r="F824" s="5"/>
    </row>
    <row r="825" spans="1:6" ht="14.25" customHeight="1" x14ac:dyDescent="0.35">
      <c r="A825" s="4"/>
      <c r="E825" s="5"/>
      <c r="F825" s="5"/>
    </row>
    <row r="826" spans="1:6" ht="14.25" customHeight="1" x14ac:dyDescent="0.35">
      <c r="A826" s="4"/>
      <c r="E826" s="5"/>
      <c r="F826" s="5"/>
    </row>
    <row r="827" spans="1:6" ht="14.25" customHeight="1" x14ac:dyDescent="0.35">
      <c r="A827" s="4"/>
      <c r="E827" s="5"/>
      <c r="F827" s="5"/>
    </row>
    <row r="828" spans="1:6" ht="14.25" customHeight="1" x14ac:dyDescent="0.35">
      <c r="A828" s="4"/>
      <c r="E828" s="5"/>
      <c r="F828" s="5"/>
    </row>
    <row r="829" spans="1:6" ht="14.25" customHeight="1" x14ac:dyDescent="0.35">
      <c r="A829" s="4"/>
      <c r="E829" s="5"/>
      <c r="F829" s="5"/>
    </row>
    <row r="830" spans="1:6" ht="14.25" customHeight="1" x14ac:dyDescent="0.35">
      <c r="A830" s="4"/>
      <c r="E830" s="5"/>
      <c r="F830" s="5"/>
    </row>
    <row r="831" spans="1:6" ht="14.25" customHeight="1" x14ac:dyDescent="0.35">
      <c r="A831" s="4"/>
      <c r="E831" s="5"/>
      <c r="F831" s="5"/>
    </row>
    <row r="832" spans="1:6" ht="14.25" customHeight="1" x14ac:dyDescent="0.35">
      <c r="A832" s="4"/>
      <c r="E832" s="5"/>
      <c r="F832" s="5"/>
    </row>
    <row r="833" spans="1:6" ht="14.25" customHeight="1" x14ac:dyDescent="0.35">
      <c r="A833" s="4"/>
      <c r="E833" s="5"/>
      <c r="F833" s="5"/>
    </row>
    <row r="834" spans="1:6" ht="14.25" customHeight="1" x14ac:dyDescent="0.35">
      <c r="A834" s="4"/>
      <c r="E834" s="5"/>
      <c r="F834" s="5"/>
    </row>
    <row r="835" spans="1:6" ht="14.25" customHeight="1" x14ac:dyDescent="0.35">
      <c r="A835" s="4"/>
      <c r="E835" s="5"/>
      <c r="F835" s="5"/>
    </row>
    <row r="836" spans="1:6" ht="14.25" customHeight="1" x14ac:dyDescent="0.35">
      <c r="A836" s="4"/>
      <c r="E836" s="5"/>
      <c r="F836" s="5"/>
    </row>
    <row r="837" spans="1:6" ht="14.25" customHeight="1" x14ac:dyDescent="0.35">
      <c r="A837" s="4"/>
      <c r="E837" s="5"/>
      <c r="F837" s="5"/>
    </row>
    <row r="838" spans="1:6" ht="14.25" customHeight="1" x14ac:dyDescent="0.35">
      <c r="A838" s="4"/>
      <c r="E838" s="5"/>
      <c r="F838" s="5"/>
    </row>
    <row r="839" spans="1:6" ht="14.25" customHeight="1" x14ac:dyDescent="0.35">
      <c r="A839" s="4"/>
      <c r="E839" s="5"/>
      <c r="F839" s="5"/>
    </row>
    <row r="840" spans="1:6" ht="14.25" customHeight="1" x14ac:dyDescent="0.35">
      <c r="A840" s="4"/>
      <c r="E840" s="5"/>
      <c r="F840" s="5"/>
    </row>
    <row r="841" spans="1:6" ht="14.25" customHeight="1" x14ac:dyDescent="0.35">
      <c r="A841" s="4"/>
      <c r="E841" s="5"/>
      <c r="F841" s="5"/>
    </row>
    <row r="842" spans="1:6" ht="14.25" customHeight="1" x14ac:dyDescent="0.35">
      <c r="A842" s="4"/>
      <c r="E842" s="5"/>
      <c r="F842" s="5"/>
    </row>
    <row r="843" spans="1:6" ht="14.25" customHeight="1" x14ac:dyDescent="0.35">
      <c r="A843" s="4"/>
      <c r="E843" s="5"/>
      <c r="F843" s="5"/>
    </row>
    <row r="844" spans="1:6" ht="14.25" customHeight="1" x14ac:dyDescent="0.35">
      <c r="A844" s="4"/>
      <c r="E844" s="5"/>
      <c r="F844" s="5"/>
    </row>
    <row r="845" spans="1:6" ht="14.25" customHeight="1" x14ac:dyDescent="0.35">
      <c r="A845" s="4"/>
      <c r="E845" s="5"/>
      <c r="F845" s="5"/>
    </row>
    <row r="846" spans="1:6" ht="14.25" customHeight="1" x14ac:dyDescent="0.35">
      <c r="A846" s="4"/>
      <c r="E846" s="5"/>
      <c r="F846" s="5"/>
    </row>
    <row r="847" spans="1:6" ht="14.25" customHeight="1" x14ac:dyDescent="0.35">
      <c r="A847" s="4"/>
      <c r="E847" s="5"/>
      <c r="F847" s="5"/>
    </row>
    <row r="848" spans="1:6" ht="14.25" customHeight="1" x14ac:dyDescent="0.35">
      <c r="A848" s="4"/>
      <c r="E848" s="5"/>
      <c r="F848" s="5"/>
    </row>
    <row r="849" spans="1:6" ht="14.25" customHeight="1" x14ac:dyDescent="0.35">
      <c r="A849" s="4"/>
      <c r="E849" s="5"/>
      <c r="F849" s="5"/>
    </row>
    <row r="850" spans="1:6" ht="14.25" customHeight="1" x14ac:dyDescent="0.35">
      <c r="A850" s="4"/>
      <c r="E850" s="5"/>
      <c r="F850" s="5"/>
    </row>
    <row r="851" spans="1:6" ht="14.25" customHeight="1" x14ac:dyDescent="0.35">
      <c r="A851" s="4"/>
      <c r="E851" s="5"/>
      <c r="F851" s="5"/>
    </row>
    <row r="852" spans="1:6" ht="14.25" customHeight="1" x14ac:dyDescent="0.35">
      <c r="A852" s="4"/>
      <c r="E852" s="5"/>
      <c r="F852" s="5"/>
    </row>
    <row r="853" spans="1:6" ht="14.25" customHeight="1" x14ac:dyDescent="0.35">
      <c r="A853" s="4"/>
      <c r="E853" s="5"/>
      <c r="F853" s="5"/>
    </row>
    <row r="854" spans="1:6" ht="14.25" customHeight="1" x14ac:dyDescent="0.35">
      <c r="A854" s="4"/>
      <c r="E854" s="5"/>
      <c r="F854" s="5"/>
    </row>
    <row r="855" spans="1:6" ht="14.25" customHeight="1" x14ac:dyDescent="0.35">
      <c r="A855" s="4"/>
      <c r="E855" s="5"/>
      <c r="F855" s="5"/>
    </row>
    <row r="856" spans="1:6" ht="14.25" customHeight="1" x14ac:dyDescent="0.35">
      <c r="A856" s="4"/>
      <c r="E856" s="5"/>
      <c r="F856" s="5"/>
    </row>
    <row r="857" spans="1:6" ht="14.25" customHeight="1" x14ac:dyDescent="0.35">
      <c r="A857" s="4"/>
      <c r="E857" s="5"/>
      <c r="F857" s="5"/>
    </row>
    <row r="858" spans="1:6" ht="14.25" customHeight="1" x14ac:dyDescent="0.35">
      <c r="A858" s="4"/>
      <c r="E858" s="5"/>
      <c r="F858" s="5"/>
    </row>
    <row r="859" spans="1:6" ht="14.25" customHeight="1" x14ac:dyDescent="0.35">
      <c r="A859" s="4"/>
      <c r="E859" s="5"/>
      <c r="F859" s="5"/>
    </row>
    <row r="860" spans="1:6" ht="14.25" customHeight="1" x14ac:dyDescent="0.35">
      <c r="A860" s="4"/>
      <c r="E860" s="5"/>
      <c r="F860" s="5"/>
    </row>
    <row r="861" spans="1:6" ht="14.25" customHeight="1" x14ac:dyDescent="0.35">
      <c r="A861" s="4"/>
      <c r="E861" s="5"/>
      <c r="F861" s="5"/>
    </row>
    <row r="862" spans="1:6" ht="14.25" customHeight="1" x14ac:dyDescent="0.35">
      <c r="A862" s="4"/>
      <c r="E862" s="5"/>
      <c r="F862" s="5"/>
    </row>
    <row r="863" spans="1:6" ht="14.25" customHeight="1" x14ac:dyDescent="0.35">
      <c r="A863" s="4"/>
      <c r="E863" s="5"/>
      <c r="F863" s="5"/>
    </row>
    <row r="864" spans="1:6" ht="14.25" customHeight="1" x14ac:dyDescent="0.35">
      <c r="A864" s="4"/>
      <c r="E864" s="5"/>
      <c r="F864" s="5"/>
    </row>
    <row r="865" spans="1:6" ht="14.25" customHeight="1" x14ac:dyDescent="0.35">
      <c r="A865" s="4"/>
      <c r="E865" s="5"/>
      <c r="F865" s="5"/>
    </row>
    <row r="866" spans="1:6" ht="14.25" customHeight="1" x14ac:dyDescent="0.35">
      <c r="A866" s="4"/>
      <c r="E866" s="5"/>
      <c r="F866" s="5"/>
    </row>
    <row r="867" spans="1:6" ht="14.25" customHeight="1" x14ac:dyDescent="0.35">
      <c r="A867" s="4"/>
      <c r="E867" s="5"/>
      <c r="F867" s="5"/>
    </row>
    <row r="868" spans="1:6" ht="14.25" customHeight="1" x14ac:dyDescent="0.35">
      <c r="A868" s="4"/>
      <c r="E868" s="5"/>
      <c r="F868" s="5"/>
    </row>
    <row r="869" spans="1:6" ht="14.25" customHeight="1" x14ac:dyDescent="0.35">
      <c r="A869" s="4"/>
      <c r="E869" s="5"/>
      <c r="F869" s="5"/>
    </row>
    <row r="870" spans="1:6" ht="14.25" customHeight="1" x14ac:dyDescent="0.35">
      <c r="A870" s="4"/>
      <c r="E870" s="5"/>
      <c r="F870" s="5"/>
    </row>
    <row r="871" spans="1:6" ht="14.25" customHeight="1" x14ac:dyDescent="0.35">
      <c r="A871" s="4"/>
      <c r="E871" s="5"/>
      <c r="F871" s="5"/>
    </row>
    <row r="872" spans="1:6" ht="14.25" customHeight="1" x14ac:dyDescent="0.35">
      <c r="A872" s="4"/>
      <c r="E872" s="5"/>
      <c r="F872" s="5"/>
    </row>
    <row r="873" spans="1:6" ht="14.25" customHeight="1" x14ac:dyDescent="0.35">
      <c r="A873" s="4"/>
      <c r="E873" s="5"/>
      <c r="F873" s="5"/>
    </row>
    <row r="874" spans="1:6" ht="14.25" customHeight="1" x14ac:dyDescent="0.35">
      <c r="A874" s="4"/>
      <c r="E874" s="5"/>
      <c r="F874" s="5"/>
    </row>
    <row r="875" spans="1:6" ht="14.25" customHeight="1" x14ac:dyDescent="0.35">
      <c r="A875" s="4"/>
      <c r="E875" s="5"/>
      <c r="F875" s="5"/>
    </row>
    <row r="876" spans="1:6" ht="14.25" customHeight="1" x14ac:dyDescent="0.35">
      <c r="A876" s="4"/>
      <c r="E876" s="5"/>
      <c r="F876" s="5"/>
    </row>
    <row r="877" spans="1:6" ht="14.25" customHeight="1" x14ac:dyDescent="0.35">
      <c r="A877" s="4"/>
      <c r="E877" s="5"/>
      <c r="F877" s="5"/>
    </row>
    <row r="878" spans="1:6" ht="14.25" customHeight="1" x14ac:dyDescent="0.35">
      <c r="A878" s="4"/>
      <c r="E878" s="5"/>
      <c r="F878" s="5"/>
    </row>
    <row r="879" spans="1:6" ht="14.25" customHeight="1" x14ac:dyDescent="0.35">
      <c r="A879" s="4"/>
      <c r="E879" s="5"/>
      <c r="F879" s="5"/>
    </row>
    <row r="880" spans="1:6" ht="14.25" customHeight="1" x14ac:dyDescent="0.35">
      <c r="A880" s="4"/>
      <c r="E880" s="5"/>
      <c r="F880" s="5"/>
    </row>
    <row r="881" spans="1:6" ht="14.25" customHeight="1" x14ac:dyDescent="0.35">
      <c r="A881" s="4"/>
      <c r="E881" s="5"/>
      <c r="F881" s="5"/>
    </row>
    <row r="882" spans="1:6" ht="14.25" customHeight="1" x14ac:dyDescent="0.35">
      <c r="A882" s="4"/>
      <c r="E882" s="5"/>
      <c r="F882" s="5"/>
    </row>
    <row r="883" spans="1:6" ht="14.25" customHeight="1" x14ac:dyDescent="0.35">
      <c r="A883" s="4"/>
      <c r="E883" s="5"/>
      <c r="F883" s="5"/>
    </row>
    <row r="884" spans="1:6" ht="14.25" customHeight="1" x14ac:dyDescent="0.35">
      <c r="A884" s="4"/>
      <c r="E884" s="5"/>
      <c r="F884" s="5"/>
    </row>
    <row r="885" spans="1:6" ht="14.25" customHeight="1" x14ac:dyDescent="0.35">
      <c r="A885" s="4"/>
      <c r="E885" s="5"/>
      <c r="F885" s="5"/>
    </row>
    <row r="886" spans="1:6" ht="14.25" customHeight="1" x14ac:dyDescent="0.35">
      <c r="A886" s="4"/>
      <c r="E886" s="5"/>
      <c r="F886" s="5"/>
    </row>
    <row r="887" spans="1:6" ht="14.25" customHeight="1" x14ac:dyDescent="0.35">
      <c r="A887" s="4"/>
      <c r="E887" s="5"/>
      <c r="F887" s="5"/>
    </row>
    <row r="888" spans="1:6" ht="14.25" customHeight="1" x14ac:dyDescent="0.35">
      <c r="A888" s="4"/>
      <c r="E888" s="5"/>
      <c r="F888" s="5"/>
    </row>
    <row r="889" spans="1:6" ht="14.25" customHeight="1" x14ac:dyDescent="0.35">
      <c r="A889" s="4"/>
      <c r="E889" s="5"/>
      <c r="F889" s="5"/>
    </row>
    <row r="890" spans="1:6" ht="14.25" customHeight="1" x14ac:dyDescent="0.35">
      <c r="A890" s="4"/>
      <c r="E890" s="5"/>
      <c r="F890" s="5"/>
    </row>
    <row r="891" spans="1:6" ht="14.25" customHeight="1" x14ac:dyDescent="0.35">
      <c r="A891" s="4"/>
      <c r="E891" s="5"/>
      <c r="F891" s="5"/>
    </row>
    <row r="892" spans="1:6" ht="14.25" customHeight="1" x14ac:dyDescent="0.35">
      <c r="A892" s="4"/>
      <c r="E892" s="5"/>
      <c r="F892" s="5"/>
    </row>
    <row r="893" spans="1:6" ht="14.25" customHeight="1" x14ac:dyDescent="0.35">
      <c r="A893" s="4"/>
      <c r="E893" s="5"/>
      <c r="F893" s="5"/>
    </row>
    <row r="894" spans="1:6" ht="14.25" customHeight="1" x14ac:dyDescent="0.35">
      <c r="A894" s="4"/>
      <c r="E894" s="5"/>
      <c r="F894" s="5"/>
    </row>
    <row r="895" spans="1:6" ht="14.25" customHeight="1" x14ac:dyDescent="0.35">
      <c r="A895" s="4"/>
      <c r="E895" s="5"/>
      <c r="F895" s="5"/>
    </row>
    <row r="896" spans="1:6" ht="14.25" customHeight="1" x14ac:dyDescent="0.35">
      <c r="A896" s="4"/>
      <c r="E896" s="5"/>
      <c r="F896" s="5"/>
    </row>
    <row r="897" spans="1:6" ht="14.25" customHeight="1" x14ac:dyDescent="0.35">
      <c r="A897" s="4"/>
      <c r="E897" s="5"/>
      <c r="F897" s="5"/>
    </row>
    <row r="898" spans="1:6" ht="14.25" customHeight="1" x14ac:dyDescent="0.35">
      <c r="A898" s="4"/>
      <c r="E898" s="5"/>
      <c r="F898" s="5"/>
    </row>
    <row r="899" spans="1:6" ht="14.25" customHeight="1" x14ac:dyDescent="0.35">
      <c r="A899" s="4"/>
      <c r="E899" s="5"/>
      <c r="F899" s="5"/>
    </row>
    <row r="900" spans="1:6" ht="14.25" customHeight="1" x14ac:dyDescent="0.35">
      <c r="A900" s="4"/>
      <c r="E900" s="5"/>
      <c r="F900" s="5"/>
    </row>
    <row r="901" spans="1:6" ht="14.25" customHeight="1" x14ac:dyDescent="0.35">
      <c r="A901" s="4"/>
      <c r="E901" s="5"/>
      <c r="F901" s="5"/>
    </row>
    <row r="902" spans="1:6" ht="14.25" customHeight="1" x14ac:dyDescent="0.35">
      <c r="A902" s="4"/>
      <c r="E902" s="5"/>
      <c r="F902" s="5"/>
    </row>
    <row r="903" spans="1:6" ht="14.25" customHeight="1" x14ac:dyDescent="0.35">
      <c r="A903" s="4"/>
      <c r="E903" s="5"/>
      <c r="F903" s="5"/>
    </row>
    <row r="904" spans="1:6" ht="14.25" customHeight="1" x14ac:dyDescent="0.35">
      <c r="A904" s="4"/>
      <c r="E904" s="5"/>
      <c r="F904" s="5"/>
    </row>
    <row r="905" spans="1:6" ht="14.25" customHeight="1" x14ac:dyDescent="0.35">
      <c r="A905" s="4"/>
      <c r="E905" s="5"/>
      <c r="F905" s="5"/>
    </row>
    <row r="906" spans="1:6" ht="14.25" customHeight="1" x14ac:dyDescent="0.35">
      <c r="A906" s="4"/>
      <c r="E906" s="5"/>
      <c r="F906" s="5"/>
    </row>
    <row r="907" spans="1:6" ht="14.25" customHeight="1" x14ac:dyDescent="0.35">
      <c r="A907" s="4"/>
      <c r="E907" s="5"/>
      <c r="F907" s="5"/>
    </row>
    <row r="908" spans="1:6" ht="14.25" customHeight="1" x14ac:dyDescent="0.35">
      <c r="A908" s="4"/>
      <c r="E908" s="5"/>
      <c r="F908" s="5"/>
    </row>
    <row r="909" spans="1:6" ht="14.25" customHeight="1" x14ac:dyDescent="0.35">
      <c r="A909" s="4"/>
      <c r="E909" s="5"/>
      <c r="F909" s="5"/>
    </row>
    <row r="910" spans="1:6" ht="14.25" customHeight="1" x14ac:dyDescent="0.35">
      <c r="A910" s="4"/>
      <c r="E910" s="5"/>
      <c r="F910" s="5"/>
    </row>
    <row r="911" spans="1:6" ht="14.25" customHeight="1" x14ac:dyDescent="0.35">
      <c r="A911" s="4"/>
      <c r="E911" s="5"/>
      <c r="F911" s="5"/>
    </row>
    <row r="912" spans="1:6" ht="14.25" customHeight="1" x14ac:dyDescent="0.35">
      <c r="A912" s="4"/>
      <c r="E912" s="5"/>
      <c r="F912" s="5"/>
    </row>
    <row r="913" spans="1:6" ht="14.25" customHeight="1" x14ac:dyDescent="0.35">
      <c r="A913" s="4"/>
      <c r="E913" s="5"/>
      <c r="F913" s="5"/>
    </row>
    <row r="914" spans="1:6" ht="14.25" customHeight="1" x14ac:dyDescent="0.35">
      <c r="A914" s="4"/>
      <c r="E914" s="5"/>
      <c r="F914" s="5"/>
    </row>
    <row r="915" spans="1:6" ht="14.25" customHeight="1" x14ac:dyDescent="0.35">
      <c r="A915" s="4"/>
      <c r="E915" s="5"/>
      <c r="F915" s="5"/>
    </row>
    <row r="916" spans="1:6" ht="14.25" customHeight="1" x14ac:dyDescent="0.35">
      <c r="A916" s="4"/>
      <c r="E916" s="5"/>
      <c r="F916" s="5"/>
    </row>
    <row r="917" spans="1:6" ht="14.25" customHeight="1" x14ac:dyDescent="0.35">
      <c r="A917" s="4"/>
      <c r="E917" s="5"/>
      <c r="F917" s="5"/>
    </row>
    <row r="918" spans="1:6" ht="14.25" customHeight="1" x14ac:dyDescent="0.35">
      <c r="A918" s="4"/>
      <c r="E918" s="5"/>
      <c r="F918" s="5"/>
    </row>
    <row r="919" spans="1:6" ht="14.25" customHeight="1" x14ac:dyDescent="0.35">
      <c r="A919" s="4"/>
      <c r="E919" s="5"/>
      <c r="F919" s="5"/>
    </row>
    <row r="920" spans="1:6" ht="14.25" customHeight="1" x14ac:dyDescent="0.35">
      <c r="A920" s="4"/>
      <c r="E920" s="5"/>
      <c r="F920" s="5"/>
    </row>
    <row r="921" spans="1:6" ht="14.25" customHeight="1" x14ac:dyDescent="0.35">
      <c r="A921" s="4"/>
      <c r="E921" s="5"/>
      <c r="F921" s="5"/>
    </row>
    <row r="922" spans="1:6" ht="14.25" customHeight="1" x14ac:dyDescent="0.35">
      <c r="A922" s="4"/>
      <c r="E922" s="5"/>
      <c r="F922" s="5"/>
    </row>
    <row r="923" spans="1:6" ht="14.25" customHeight="1" x14ac:dyDescent="0.35">
      <c r="A923" s="4"/>
      <c r="E923" s="5"/>
      <c r="F923" s="5"/>
    </row>
    <row r="924" spans="1:6" ht="14.25" customHeight="1" x14ac:dyDescent="0.35">
      <c r="A924" s="4"/>
      <c r="E924" s="5"/>
      <c r="F924" s="5"/>
    </row>
    <row r="925" spans="1:6" ht="14.25" customHeight="1" x14ac:dyDescent="0.35">
      <c r="A925" s="4"/>
      <c r="E925" s="5"/>
      <c r="F925" s="5"/>
    </row>
    <row r="926" spans="1:6" ht="14.25" customHeight="1" x14ac:dyDescent="0.35">
      <c r="A926" s="4"/>
      <c r="E926" s="5"/>
      <c r="F926" s="5"/>
    </row>
    <row r="927" spans="1:6" ht="14.25" customHeight="1" x14ac:dyDescent="0.35">
      <c r="A927" s="4"/>
      <c r="E927" s="5"/>
      <c r="F927" s="5"/>
    </row>
    <row r="928" spans="1:6" ht="14.25" customHeight="1" x14ac:dyDescent="0.35">
      <c r="A928" s="4"/>
      <c r="E928" s="5"/>
      <c r="F928" s="5"/>
    </row>
    <row r="929" spans="1:6" ht="14.25" customHeight="1" x14ac:dyDescent="0.35">
      <c r="A929" s="4"/>
      <c r="E929" s="5"/>
      <c r="F929" s="5"/>
    </row>
    <row r="930" spans="1:6" ht="14.25" customHeight="1" x14ac:dyDescent="0.35">
      <c r="A930" s="4"/>
      <c r="E930" s="5"/>
      <c r="F930" s="5"/>
    </row>
    <row r="931" spans="1:6" ht="14.25" customHeight="1" x14ac:dyDescent="0.35">
      <c r="A931" s="4"/>
      <c r="E931" s="5"/>
      <c r="F931" s="5"/>
    </row>
    <row r="932" spans="1:6" ht="14.25" customHeight="1" x14ac:dyDescent="0.35">
      <c r="A932" s="4"/>
      <c r="E932" s="5"/>
      <c r="F932" s="5"/>
    </row>
    <row r="933" spans="1:6" ht="14.25" customHeight="1" x14ac:dyDescent="0.35">
      <c r="A933" s="4"/>
      <c r="E933" s="5"/>
      <c r="F933" s="5"/>
    </row>
    <row r="934" spans="1:6" ht="14.25" customHeight="1" x14ac:dyDescent="0.35">
      <c r="A934" s="4"/>
      <c r="E934" s="5"/>
      <c r="F934" s="5"/>
    </row>
    <row r="935" spans="1:6" ht="14.25" customHeight="1" x14ac:dyDescent="0.35">
      <c r="A935" s="4"/>
      <c r="E935" s="5"/>
      <c r="F935" s="5"/>
    </row>
    <row r="936" spans="1:6" ht="14.25" customHeight="1" x14ac:dyDescent="0.35">
      <c r="A936" s="4"/>
      <c r="E936" s="5"/>
      <c r="F936" s="5"/>
    </row>
    <row r="937" spans="1:6" ht="14.25" customHeight="1" x14ac:dyDescent="0.35">
      <c r="A937" s="4"/>
      <c r="E937" s="5"/>
      <c r="F937" s="5"/>
    </row>
    <row r="938" spans="1:6" ht="14.25" customHeight="1" x14ac:dyDescent="0.35">
      <c r="A938" s="4"/>
      <c r="E938" s="5"/>
      <c r="F938" s="5"/>
    </row>
    <row r="939" spans="1:6" ht="14.25" customHeight="1" x14ac:dyDescent="0.35">
      <c r="A939" s="4"/>
      <c r="E939" s="5"/>
      <c r="F939" s="5"/>
    </row>
    <row r="940" spans="1:6" ht="14.25" customHeight="1" x14ac:dyDescent="0.35">
      <c r="A940" s="4"/>
      <c r="E940" s="5"/>
      <c r="F940" s="5"/>
    </row>
    <row r="941" spans="1:6" ht="14.25" customHeight="1" x14ac:dyDescent="0.35">
      <c r="A941" s="4"/>
      <c r="E941" s="5"/>
      <c r="F941" s="5"/>
    </row>
    <row r="942" spans="1:6" ht="14.25" customHeight="1" x14ac:dyDescent="0.35">
      <c r="A942" s="4"/>
      <c r="E942" s="5"/>
      <c r="F942" s="5"/>
    </row>
    <row r="943" spans="1:6" ht="14.25" customHeight="1" x14ac:dyDescent="0.35">
      <c r="A943" s="4"/>
      <c r="E943" s="5"/>
      <c r="F943" s="5"/>
    </row>
    <row r="944" spans="1:6" ht="14.25" customHeight="1" x14ac:dyDescent="0.35">
      <c r="A944" s="4"/>
      <c r="E944" s="5"/>
      <c r="F944" s="5"/>
    </row>
    <row r="945" spans="1:6" ht="14.25" customHeight="1" x14ac:dyDescent="0.35">
      <c r="A945" s="4"/>
      <c r="E945" s="5"/>
      <c r="F945" s="5"/>
    </row>
    <row r="946" spans="1:6" ht="14.25" customHeight="1" x14ac:dyDescent="0.35">
      <c r="A946" s="4"/>
      <c r="E946" s="5"/>
      <c r="F946" s="5"/>
    </row>
    <row r="947" spans="1:6" ht="14.25" customHeight="1" x14ac:dyDescent="0.35">
      <c r="A947" s="4"/>
      <c r="E947" s="5"/>
      <c r="F947" s="5"/>
    </row>
    <row r="948" spans="1:6" ht="14.25" customHeight="1" x14ac:dyDescent="0.35">
      <c r="A948" s="4"/>
      <c r="E948" s="5"/>
      <c r="F948" s="5"/>
    </row>
    <row r="949" spans="1:6" ht="14.25" customHeight="1" x14ac:dyDescent="0.35">
      <c r="A949" s="4"/>
      <c r="E949" s="5"/>
      <c r="F949" s="5"/>
    </row>
    <row r="950" spans="1:6" ht="14.25" customHeight="1" x14ac:dyDescent="0.35">
      <c r="A950" s="4"/>
      <c r="E950" s="5"/>
      <c r="F950" s="5"/>
    </row>
    <row r="951" spans="1:6" ht="14.25" customHeight="1" x14ac:dyDescent="0.35">
      <c r="A951" s="4"/>
      <c r="E951" s="5"/>
      <c r="F951" s="5"/>
    </row>
    <row r="952" spans="1:6" ht="14.25" customHeight="1" x14ac:dyDescent="0.35">
      <c r="A952" s="4"/>
      <c r="E952" s="5"/>
      <c r="F952" s="5"/>
    </row>
    <row r="953" spans="1:6" ht="14.25" customHeight="1" x14ac:dyDescent="0.35">
      <c r="A953" s="4"/>
      <c r="E953" s="5"/>
      <c r="F953" s="5"/>
    </row>
    <row r="954" spans="1:6" ht="14.25" customHeight="1" x14ac:dyDescent="0.35">
      <c r="A954" s="4"/>
      <c r="E954" s="5"/>
      <c r="F954" s="5"/>
    </row>
    <row r="955" spans="1:6" ht="14.25" customHeight="1" x14ac:dyDescent="0.35">
      <c r="A955" s="4"/>
      <c r="E955" s="5"/>
      <c r="F955" s="5"/>
    </row>
    <row r="956" spans="1:6" ht="14.25" customHeight="1" x14ac:dyDescent="0.35">
      <c r="A956" s="4"/>
      <c r="E956" s="5"/>
      <c r="F956" s="5"/>
    </row>
    <row r="957" spans="1:6" ht="14.25" customHeight="1" x14ac:dyDescent="0.35">
      <c r="A957" s="4"/>
      <c r="E957" s="5"/>
      <c r="F957" s="5"/>
    </row>
    <row r="958" spans="1:6" ht="14.25" customHeight="1" x14ac:dyDescent="0.35">
      <c r="A958" s="4"/>
      <c r="E958" s="5"/>
      <c r="F958" s="5"/>
    </row>
    <row r="959" spans="1:6" ht="14.25" customHeight="1" x14ac:dyDescent="0.35">
      <c r="A959" s="4"/>
      <c r="E959" s="5"/>
      <c r="F959" s="5"/>
    </row>
    <row r="960" spans="1:6" ht="14.25" customHeight="1" x14ac:dyDescent="0.35">
      <c r="A960" s="4"/>
      <c r="E960" s="5"/>
      <c r="F960" s="5"/>
    </row>
    <row r="961" spans="1:6" ht="14.25" customHeight="1" x14ac:dyDescent="0.35">
      <c r="A961" s="4"/>
      <c r="E961" s="5"/>
      <c r="F961" s="5"/>
    </row>
    <row r="962" spans="1:6" ht="14.25" customHeight="1" x14ac:dyDescent="0.35">
      <c r="A962" s="4"/>
      <c r="E962" s="5"/>
      <c r="F962" s="5"/>
    </row>
    <row r="963" spans="1:6" ht="14.25" customHeight="1" x14ac:dyDescent="0.35">
      <c r="A963" s="4"/>
      <c r="E963" s="5"/>
      <c r="F963" s="5"/>
    </row>
    <row r="964" spans="1:6" ht="14.25" customHeight="1" x14ac:dyDescent="0.35">
      <c r="A964" s="4"/>
      <c r="E964" s="5"/>
      <c r="F964" s="5"/>
    </row>
    <row r="965" spans="1:6" ht="14.25" customHeight="1" x14ac:dyDescent="0.35">
      <c r="A965" s="4"/>
      <c r="E965" s="5"/>
      <c r="F965" s="5"/>
    </row>
    <row r="966" spans="1:6" ht="14.25" customHeight="1" x14ac:dyDescent="0.35">
      <c r="A966" s="4"/>
      <c r="E966" s="5"/>
      <c r="F966" s="5"/>
    </row>
    <row r="967" spans="1:6" ht="14.25" customHeight="1" x14ac:dyDescent="0.35">
      <c r="A967" s="4"/>
      <c r="E967" s="5"/>
      <c r="F967" s="5"/>
    </row>
    <row r="968" spans="1:6" ht="14.25" customHeight="1" x14ac:dyDescent="0.35">
      <c r="A968" s="4"/>
      <c r="E968" s="5"/>
      <c r="F968" s="5"/>
    </row>
    <row r="969" spans="1:6" ht="14.25" customHeight="1" x14ac:dyDescent="0.35">
      <c r="A969" s="4"/>
      <c r="E969" s="5"/>
      <c r="F969" s="5"/>
    </row>
    <row r="970" spans="1:6" ht="14.25" customHeight="1" x14ac:dyDescent="0.35">
      <c r="A970" s="4"/>
      <c r="E970" s="5"/>
      <c r="F970" s="5"/>
    </row>
    <row r="971" spans="1:6" ht="14.25" customHeight="1" x14ac:dyDescent="0.35">
      <c r="A971" s="4"/>
      <c r="E971" s="5"/>
      <c r="F971" s="5"/>
    </row>
    <row r="972" spans="1:6" ht="14.25" customHeight="1" x14ac:dyDescent="0.35">
      <c r="A972" s="4"/>
      <c r="E972" s="5"/>
      <c r="F972" s="5"/>
    </row>
    <row r="973" spans="1:6" ht="14.25" customHeight="1" x14ac:dyDescent="0.35">
      <c r="A973" s="4"/>
      <c r="E973" s="5"/>
      <c r="F973" s="5"/>
    </row>
    <row r="974" spans="1:6" ht="14.25" customHeight="1" x14ac:dyDescent="0.35">
      <c r="A974" s="4"/>
      <c r="E974" s="5"/>
      <c r="F974" s="5"/>
    </row>
    <row r="975" spans="1:6" ht="14.25" customHeight="1" x14ac:dyDescent="0.35">
      <c r="A975" s="4"/>
      <c r="E975" s="5"/>
      <c r="F975" s="5"/>
    </row>
    <row r="976" spans="1:6" ht="14.25" customHeight="1" x14ac:dyDescent="0.35">
      <c r="A976" s="4"/>
      <c r="E976" s="5"/>
      <c r="F976" s="5"/>
    </row>
    <row r="977" spans="1:6" ht="14.25" customHeight="1" x14ac:dyDescent="0.35">
      <c r="A977" s="4"/>
      <c r="E977" s="5"/>
      <c r="F977" s="5"/>
    </row>
    <row r="978" spans="1:6" ht="14.25" customHeight="1" x14ac:dyDescent="0.35">
      <c r="A978" s="4"/>
      <c r="E978" s="5"/>
      <c r="F978" s="5"/>
    </row>
    <row r="979" spans="1:6" ht="14.25" customHeight="1" x14ac:dyDescent="0.35">
      <c r="A979" s="4"/>
      <c r="E979" s="5"/>
      <c r="F979" s="5"/>
    </row>
    <row r="980" spans="1:6" ht="14.25" customHeight="1" x14ac:dyDescent="0.35">
      <c r="A980" s="4"/>
      <c r="E980" s="5"/>
      <c r="F980" s="5"/>
    </row>
    <row r="981" spans="1:6" ht="14.25" customHeight="1" x14ac:dyDescent="0.35">
      <c r="A981" s="4"/>
      <c r="E981" s="5"/>
      <c r="F981" s="5"/>
    </row>
    <row r="982" spans="1:6" ht="14.25" customHeight="1" x14ac:dyDescent="0.35">
      <c r="A982" s="4"/>
      <c r="E982" s="5"/>
      <c r="F982" s="5"/>
    </row>
    <row r="983" spans="1:6" ht="14.25" customHeight="1" x14ac:dyDescent="0.35">
      <c r="A983" s="4"/>
      <c r="E983" s="5"/>
      <c r="F983" s="5"/>
    </row>
    <row r="984" spans="1:6" ht="14.25" customHeight="1" x14ac:dyDescent="0.35">
      <c r="A984" s="4"/>
      <c r="E984" s="5"/>
      <c r="F984" s="5"/>
    </row>
    <row r="985" spans="1:6" ht="14.25" customHeight="1" x14ac:dyDescent="0.35">
      <c r="A985" s="4"/>
      <c r="E985" s="5"/>
      <c r="F985" s="5"/>
    </row>
    <row r="986" spans="1:6" ht="14.25" customHeight="1" x14ac:dyDescent="0.35">
      <c r="A986" s="4"/>
      <c r="E986" s="5"/>
      <c r="F986" s="5"/>
    </row>
    <row r="987" spans="1:6" ht="14.25" customHeight="1" x14ac:dyDescent="0.35">
      <c r="A987" s="4"/>
      <c r="E987" s="5"/>
      <c r="F987" s="5"/>
    </row>
    <row r="988" spans="1:6" ht="14.25" customHeight="1" x14ac:dyDescent="0.35">
      <c r="A988" s="4"/>
      <c r="E988" s="5"/>
      <c r="F988" s="5"/>
    </row>
    <row r="989" spans="1:6" ht="14.25" customHeight="1" x14ac:dyDescent="0.35">
      <c r="A989" s="4"/>
      <c r="E989" s="5"/>
      <c r="F989" s="5"/>
    </row>
    <row r="990" spans="1:6" ht="14.25" customHeight="1" x14ac:dyDescent="0.35">
      <c r="A990" s="4"/>
      <c r="E990" s="5"/>
      <c r="F990" s="5"/>
    </row>
    <row r="991" spans="1:6" ht="14.25" customHeight="1" x14ac:dyDescent="0.35">
      <c r="A991" s="4"/>
      <c r="E991" s="5"/>
      <c r="F991" s="5"/>
    </row>
    <row r="992" spans="1:6" ht="14.25" customHeight="1" x14ac:dyDescent="0.35">
      <c r="A992" s="4"/>
      <c r="E992" s="5"/>
      <c r="F992" s="5"/>
    </row>
    <row r="993" spans="1:6" ht="14.25" customHeight="1" x14ac:dyDescent="0.35">
      <c r="A993" s="4"/>
      <c r="E993" s="5"/>
      <c r="F993" s="5"/>
    </row>
    <row r="994" spans="1:6" ht="14.25" customHeight="1" x14ac:dyDescent="0.35">
      <c r="A994" s="4"/>
      <c r="E994" s="5"/>
      <c r="F994" s="5"/>
    </row>
    <row r="995" spans="1:6" ht="14.25" customHeight="1" x14ac:dyDescent="0.35">
      <c r="A995" s="4"/>
      <c r="E995" s="5"/>
      <c r="F995" s="5"/>
    </row>
    <row r="996" spans="1:6" ht="14.25" customHeight="1" x14ac:dyDescent="0.35">
      <c r="A996" s="4"/>
      <c r="E996" s="5"/>
      <c r="F996" s="5"/>
    </row>
    <row r="997" spans="1:6" ht="14.25" customHeight="1" x14ac:dyDescent="0.35">
      <c r="A997" s="4"/>
      <c r="E997" s="5"/>
      <c r="F997" s="5"/>
    </row>
    <row r="998" spans="1:6" ht="14.25" customHeight="1" x14ac:dyDescent="0.35">
      <c r="A998" s="4"/>
      <c r="E998" s="5"/>
      <c r="F998" s="5"/>
    </row>
    <row r="999" spans="1:6" ht="14.25" customHeight="1" x14ac:dyDescent="0.35">
      <c r="A999" s="4"/>
      <c r="E999" s="5"/>
      <c r="F999" s="5"/>
    </row>
    <row r="1000" spans="1:6" ht="14.25" customHeight="1" x14ac:dyDescent="0.35">
      <c r="A1000" s="4"/>
      <c r="E1000" s="5"/>
      <c r="F1000" s="5"/>
    </row>
  </sheetData>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E18" sqref="E18"/>
    </sheetView>
  </sheetViews>
  <sheetFormatPr defaultColWidth="14.453125" defaultRowHeight="15" customHeight="1" x14ac:dyDescent="0.35"/>
  <cols>
    <col min="1" max="1" width="8.26953125" customWidth="1"/>
    <col min="2" max="2" width="17.81640625" customWidth="1"/>
    <col min="3" max="26" width="8.7265625" customWidth="1"/>
  </cols>
  <sheetData>
    <row r="1" spans="1:4" ht="18" customHeight="1" x14ac:dyDescent="0.35">
      <c r="A1" s="1" t="s">
        <v>3</v>
      </c>
      <c r="B1" s="1" t="s">
        <v>69</v>
      </c>
    </row>
    <row r="2" spans="1:4" ht="18" customHeight="1" x14ac:dyDescent="0.35">
      <c r="A2" s="2" t="s">
        <v>10</v>
      </c>
      <c r="B2" s="6">
        <v>68500</v>
      </c>
      <c r="D2" s="7"/>
    </row>
    <row r="3" spans="1:4" ht="18" customHeight="1" x14ac:dyDescent="0.35">
      <c r="A3" s="2" t="s">
        <v>17</v>
      </c>
      <c r="B3" s="6">
        <v>60000</v>
      </c>
      <c r="D3" s="7"/>
    </row>
    <row r="4" spans="1:4" ht="18" customHeight="1" x14ac:dyDescent="0.35">
      <c r="A4" s="2" t="s">
        <v>22</v>
      </c>
      <c r="B4" s="6">
        <v>50000</v>
      </c>
      <c r="D4" s="7"/>
    </row>
    <row r="5" spans="1:4" ht="18" customHeight="1" x14ac:dyDescent="0.35">
      <c r="A5" s="2" t="s">
        <v>29</v>
      </c>
      <c r="B5" s="6">
        <v>55000</v>
      </c>
      <c r="D5" s="7"/>
    </row>
    <row r="6" spans="1:4" ht="18" customHeight="1" x14ac:dyDescent="0.35">
      <c r="A6" s="2" t="s">
        <v>34</v>
      </c>
      <c r="B6" s="6">
        <v>45000</v>
      </c>
      <c r="D6" s="7"/>
    </row>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03AD-A6BB-4D3C-BAD0-2060E2AD1FF3}">
  <sheetPr>
    <tabColor rgb="FF00B050"/>
  </sheetPr>
  <dimension ref="A2:S42"/>
  <sheetViews>
    <sheetView workbookViewId="0">
      <selection activeCell="A3" sqref="A3"/>
    </sheetView>
  </sheetViews>
  <sheetFormatPr defaultRowHeight="14.5" x14ac:dyDescent="0.35"/>
  <cols>
    <col min="1" max="1" width="12.36328125" bestFit="1" customWidth="1"/>
    <col min="2" max="2" width="20.81640625" bestFit="1" customWidth="1"/>
    <col min="3" max="3" width="19.36328125" bestFit="1" customWidth="1"/>
    <col min="7" max="7" width="17.36328125" bestFit="1" customWidth="1"/>
    <col min="8" max="8" width="15.54296875" bestFit="1" customWidth="1"/>
    <col min="9" max="9" width="16.81640625" bestFit="1" customWidth="1"/>
    <col min="10" max="10" width="6.81640625" bestFit="1" customWidth="1"/>
    <col min="11" max="11" width="10.36328125" bestFit="1" customWidth="1"/>
    <col min="12" max="12" width="11" bestFit="1" customWidth="1"/>
    <col min="13" max="13" width="12.36328125" bestFit="1" customWidth="1"/>
    <col min="14" max="14" width="14.36328125" bestFit="1" customWidth="1"/>
    <col min="15" max="15" width="15.81640625" bestFit="1" customWidth="1"/>
    <col min="16" max="16" width="10.7265625" bestFit="1" customWidth="1"/>
    <col min="18" max="18" width="12.36328125" bestFit="1" customWidth="1"/>
    <col min="19" max="19" width="14.36328125" bestFit="1" customWidth="1"/>
  </cols>
  <sheetData>
    <row r="2" spans="1:19" x14ac:dyDescent="0.35">
      <c r="M2" s="17" t="s">
        <v>70</v>
      </c>
      <c r="N2" t="s">
        <v>72</v>
      </c>
      <c r="R2" s="17" t="s">
        <v>70</v>
      </c>
      <c r="S2" t="s">
        <v>72</v>
      </c>
    </row>
    <row r="3" spans="1:19" x14ac:dyDescent="0.35">
      <c r="A3" s="17" t="s">
        <v>70</v>
      </c>
      <c r="B3" t="s">
        <v>93</v>
      </c>
      <c r="G3" s="17" t="s">
        <v>70</v>
      </c>
      <c r="H3" t="s">
        <v>74</v>
      </c>
      <c r="M3" s="18" t="s">
        <v>31</v>
      </c>
      <c r="N3" s="20">
        <v>1086352</v>
      </c>
      <c r="R3" s="18" t="s">
        <v>29</v>
      </c>
      <c r="S3" s="20">
        <v>710424</v>
      </c>
    </row>
    <row r="4" spans="1:19" x14ac:dyDescent="0.35">
      <c r="A4" s="18" t="s">
        <v>15</v>
      </c>
      <c r="B4" s="20">
        <v>25</v>
      </c>
      <c r="G4" s="18" t="s">
        <v>6</v>
      </c>
      <c r="H4" s="20">
        <v>366</v>
      </c>
      <c r="M4" s="18" t="s">
        <v>13</v>
      </c>
      <c r="N4" s="20">
        <v>845449</v>
      </c>
      <c r="R4" s="18" t="s">
        <v>34</v>
      </c>
      <c r="S4" s="20">
        <v>1086352</v>
      </c>
    </row>
    <row r="5" spans="1:19" x14ac:dyDescent="0.35">
      <c r="A5" s="19" t="s">
        <v>79</v>
      </c>
      <c r="B5" s="20">
        <v>6</v>
      </c>
      <c r="G5" s="19" t="s">
        <v>83</v>
      </c>
      <c r="H5" s="20">
        <v>27</v>
      </c>
      <c r="M5" s="18" t="s">
        <v>36</v>
      </c>
      <c r="N5" s="20">
        <v>724087</v>
      </c>
      <c r="R5" s="18" t="s">
        <v>10</v>
      </c>
      <c r="S5" s="20">
        <v>1149809</v>
      </c>
    </row>
    <row r="6" spans="1:19" x14ac:dyDescent="0.35">
      <c r="A6" s="19" t="s">
        <v>80</v>
      </c>
      <c r="B6" s="20">
        <v>4</v>
      </c>
      <c r="G6" s="19" t="s">
        <v>84</v>
      </c>
      <c r="H6" s="20">
        <v>284</v>
      </c>
      <c r="M6" s="18" t="s">
        <v>25</v>
      </c>
      <c r="N6" s="20">
        <v>710424</v>
      </c>
      <c r="R6" s="18" t="s">
        <v>22</v>
      </c>
      <c r="S6" s="20">
        <v>1345160</v>
      </c>
    </row>
    <row r="7" spans="1:19" x14ac:dyDescent="0.35">
      <c r="A7" s="19" t="s">
        <v>81</v>
      </c>
      <c r="B7" s="20">
        <v>2</v>
      </c>
      <c r="G7" s="19" t="s">
        <v>85</v>
      </c>
      <c r="H7" s="20">
        <v>55</v>
      </c>
      <c r="M7" s="18" t="s">
        <v>19</v>
      </c>
      <c r="N7" s="20">
        <v>698662</v>
      </c>
      <c r="R7" s="18" t="s">
        <v>17</v>
      </c>
      <c r="S7" s="20">
        <v>1569536</v>
      </c>
    </row>
    <row r="8" spans="1:19" x14ac:dyDescent="0.35">
      <c r="A8" s="19" t="s">
        <v>82</v>
      </c>
      <c r="B8" s="20">
        <v>13</v>
      </c>
      <c r="G8" s="18" t="s">
        <v>13</v>
      </c>
      <c r="H8" s="20">
        <v>548</v>
      </c>
      <c r="M8" s="18" t="s">
        <v>39</v>
      </c>
      <c r="N8" s="20">
        <v>652115</v>
      </c>
      <c r="R8" s="18" t="s">
        <v>71</v>
      </c>
      <c r="S8" s="20">
        <v>5861281</v>
      </c>
    </row>
    <row r="9" spans="1:19" x14ac:dyDescent="0.35">
      <c r="A9" s="18" t="s">
        <v>27</v>
      </c>
      <c r="B9" s="20">
        <v>15</v>
      </c>
      <c r="G9" s="19" t="s">
        <v>83</v>
      </c>
      <c r="H9" s="20">
        <v>44</v>
      </c>
      <c r="M9" s="18" t="s">
        <v>43</v>
      </c>
      <c r="N9" s="20">
        <v>646498</v>
      </c>
    </row>
    <row r="10" spans="1:19" x14ac:dyDescent="0.35">
      <c r="A10" s="19" t="s">
        <v>80</v>
      </c>
      <c r="B10" s="20">
        <v>3</v>
      </c>
      <c r="G10" s="19" t="s">
        <v>84</v>
      </c>
      <c r="H10" s="20">
        <v>105</v>
      </c>
      <c r="M10" s="18" t="s">
        <v>6</v>
      </c>
      <c r="N10" s="20">
        <v>497694</v>
      </c>
    </row>
    <row r="11" spans="1:19" x14ac:dyDescent="0.35">
      <c r="A11" s="19" t="s">
        <v>81</v>
      </c>
      <c r="B11" s="20">
        <v>6</v>
      </c>
      <c r="G11" s="19" t="s">
        <v>85</v>
      </c>
      <c r="H11" s="20">
        <v>236</v>
      </c>
      <c r="M11" s="18" t="s">
        <v>71</v>
      </c>
      <c r="N11" s="20">
        <v>5861281</v>
      </c>
    </row>
    <row r="12" spans="1:19" x14ac:dyDescent="0.35">
      <c r="A12" s="19" t="s">
        <v>82</v>
      </c>
      <c r="B12" s="20">
        <v>6</v>
      </c>
      <c r="G12" s="19" t="s">
        <v>86</v>
      </c>
      <c r="H12" s="20">
        <v>163</v>
      </c>
    </row>
    <row r="13" spans="1:19" x14ac:dyDescent="0.35">
      <c r="A13" s="18" t="s">
        <v>8</v>
      </c>
      <c r="B13" s="20">
        <v>60</v>
      </c>
      <c r="G13" s="18" t="s">
        <v>19</v>
      </c>
      <c r="H13" s="20">
        <v>473</v>
      </c>
    </row>
    <row r="14" spans="1:19" x14ac:dyDescent="0.35">
      <c r="A14" s="19" t="s">
        <v>79</v>
      </c>
      <c r="B14" s="20">
        <v>17</v>
      </c>
      <c r="G14" s="19" t="s">
        <v>84</v>
      </c>
      <c r="H14" s="20">
        <v>226</v>
      </c>
    </row>
    <row r="15" spans="1:19" x14ac:dyDescent="0.35">
      <c r="A15" s="19" t="s">
        <v>80</v>
      </c>
      <c r="B15" s="20">
        <v>13</v>
      </c>
      <c r="G15" s="19" t="s">
        <v>85</v>
      </c>
      <c r="H15" s="20">
        <v>82</v>
      </c>
    </row>
    <row r="16" spans="1:19" x14ac:dyDescent="0.35">
      <c r="A16" s="19" t="s">
        <v>81</v>
      </c>
      <c r="B16" s="20">
        <v>10</v>
      </c>
      <c r="G16" s="19" t="s">
        <v>86</v>
      </c>
      <c r="H16" s="20">
        <v>165</v>
      </c>
    </row>
    <row r="17" spans="1:8" x14ac:dyDescent="0.35">
      <c r="A17" s="19" t="s">
        <v>82</v>
      </c>
      <c r="B17" s="20">
        <v>20</v>
      </c>
      <c r="G17" s="18" t="s">
        <v>25</v>
      </c>
      <c r="H17" s="20">
        <v>516</v>
      </c>
    </row>
    <row r="18" spans="1:8" x14ac:dyDescent="0.35">
      <c r="A18" s="18" t="s">
        <v>71</v>
      </c>
      <c r="B18" s="20">
        <v>100</v>
      </c>
      <c r="G18" s="19" t="s">
        <v>83</v>
      </c>
      <c r="H18" s="20">
        <v>135</v>
      </c>
    </row>
    <row r="19" spans="1:8" x14ac:dyDescent="0.35">
      <c r="G19" s="19" t="s">
        <v>84</v>
      </c>
      <c r="H19" s="20">
        <v>209</v>
      </c>
    </row>
    <row r="20" spans="1:8" x14ac:dyDescent="0.35">
      <c r="G20" s="19" t="s">
        <v>85</v>
      </c>
      <c r="H20" s="20">
        <v>172</v>
      </c>
    </row>
    <row r="21" spans="1:8" x14ac:dyDescent="0.35">
      <c r="G21" s="18" t="s">
        <v>31</v>
      </c>
      <c r="H21" s="20">
        <v>694</v>
      </c>
    </row>
    <row r="22" spans="1:8" x14ac:dyDescent="0.35">
      <c r="G22" s="19" t="s">
        <v>83</v>
      </c>
      <c r="H22" s="20">
        <v>22</v>
      </c>
    </row>
    <row r="23" spans="1:8" x14ac:dyDescent="0.35">
      <c r="G23" s="19" t="s">
        <v>84</v>
      </c>
      <c r="H23" s="20">
        <v>56</v>
      </c>
    </row>
    <row r="24" spans="1:8" x14ac:dyDescent="0.35">
      <c r="G24" s="19" t="s">
        <v>85</v>
      </c>
      <c r="H24" s="20">
        <v>281</v>
      </c>
    </row>
    <row r="25" spans="1:8" x14ac:dyDescent="0.35">
      <c r="G25" s="19" t="s">
        <v>86</v>
      </c>
      <c r="H25" s="20">
        <v>276</v>
      </c>
    </row>
    <row r="26" spans="1:8" x14ac:dyDescent="0.35">
      <c r="G26" s="19" t="s">
        <v>87</v>
      </c>
      <c r="H26" s="20">
        <v>59</v>
      </c>
    </row>
    <row r="27" spans="1:8" x14ac:dyDescent="0.35">
      <c r="G27" s="18" t="s">
        <v>36</v>
      </c>
      <c r="H27" s="20">
        <v>517</v>
      </c>
    </row>
    <row r="28" spans="1:8" x14ac:dyDescent="0.35">
      <c r="G28" s="19" t="s">
        <v>83</v>
      </c>
      <c r="H28" s="20">
        <v>81</v>
      </c>
    </row>
    <row r="29" spans="1:8" x14ac:dyDescent="0.35">
      <c r="G29" s="19" t="s">
        <v>84</v>
      </c>
      <c r="H29" s="20">
        <v>235</v>
      </c>
    </row>
    <row r="30" spans="1:8" x14ac:dyDescent="0.35">
      <c r="G30" s="19" t="s">
        <v>85</v>
      </c>
      <c r="H30" s="20">
        <v>201</v>
      </c>
    </row>
    <row r="31" spans="1:8" x14ac:dyDescent="0.35">
      <c r="G31" s="18" t="s">
        <v>39</v>
      </c>
      <c r="H31" s="20">
        <v>486</v>
      </c>
    </row>
    <row r="32" spans="1:8" x14ac:dyDescent="0.35">
      <c r="G32" s="19" t="s">
        <v>83</v>
      </c>
      <c r="H32" s="20">
        <v>122</v>
      </c>
    </row>
    <row r="33" spans="7:8" x14ac:dyDescent="0.35">
      <c r="G33" s="19" t="s">
        <v>84</v>
      </c>
      <c r="H33" s="20">
        <v>111</v>
      </c>
    </row>
    <row r="34" spans="7:8" x14ac:dyDescent="0.35">
      <c r="G34" s="19" t="s">
        <v>85</v>
      </c>
      <c r="H34" s="20">
        <v>193</v>
      </c>
    </row>
    <row r="35" spans="7:8" x14ac:dyDescent="0.35">
      <c r="G35" s="19" t="s">
        <v>86</v>
      </c>
      <c r="H35" s="20">
        <v>60</v>
      </c>
    </row>
    <row r="36" spans="7:8" x14ac:dyDescent="0.35">
      <c r="G36" s="18" t="s">
        <v>43</v>
      </c>
      <c r="H36" s="20">
        <v>464</v>
      </c>
    </row>
    <row r="37" spans="7:8" x14ac:dyDescent="0.35">
      <c r="G37" s="19" t="s">
        <v>83</v>
      </c>
      <c r="H37" s="20">
        <v>58</v>
      </c>
    </row>
    <row r="38" spans="7:8" x14ac:dyDescent="0.35">
      <c r="G38" s="19" t="s">
        <v>84</v>
      </c>
      <c r="H38" s="20">
        <v>72</v>
      </c>
    </row>
    <row r="39" spans="7:8" x14ac:dyDescent="0.35">
      <c r="G39" s="19" t="s">
        <v>85</v>
      </c>
      <c r="H39" s="20">
        <v>215</v>
      </c>
    </row>
    <row r="40" spans="7:8" x14ac:dyDescent="0.35">
      <c r="G40" s="19" t="s">
        <v>86</v>
      </c>
      <c r="H40" s="20">
        <v>59</v>
      </c>
    </row>
    <row r="41" spans="7:8" x14ac:dyDescent="0.35">
      <c r="G41" s="19" t="s">
        <v>87</v>
      </c>
      <c r="H41" s="20">
        <v>60</v>
      </c>
    </row>
    <row r="42" spans="7:8" x14ac:dyDescent="0.35">
      <c r="G42" s="18" t="s">
        <v>71</v>
      </c>
      <c r="H42" s="20">
        <v>4064</v>
      </c>
    </row>
  </sheetData>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 Tables from Structured Da</vt:lpstr>
      <vt:lpstr>Dashbaord</vt:lpstr>
      <vt:lpstr>XLOOKUP for Dynamic Cross-Sheet</vt:lpstr>
      <vt:lpstr>EmployeeMaster</vt:lpstr>
      <vt:lpstr>Advanced Reporting  Calculated </vt:lpstr>
      <vt:lpstr>Quarter unit sold</vt:lpstr>
      <vt:lpstr>Brainstorming Reflection</vt:lpstr>
      <vt:lpstr>MonthlySalesData</vt:lpstr>
      <vt:lpstr>RegionBenchmarks</vt:lpstr>
      <vt:lpstr>Grouping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SONU KSHATRIYA</cp:lastModifiedBy>
  <cp:lastPrinted>2025-12-16T12:40:16Z</cp:lastPrinted>
  <dcterms:created xsi:type="dcterms:W3CDTF">2025-07-17T15:06:37Z</dcterms:created>
  <dcterms:modified xsi:type="dcterms:W3CDTF">2025-12-16T12:59:23Z</dcterms:modified>
</cp:coreProperties>
</file>